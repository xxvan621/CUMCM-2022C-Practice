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yichenzhao/Desktop/工作/CUMCM-2022C-Practice/q1_yichen/data_processing/"/>
    </mc:Choice>
  </mc:AlternateContent>
  <xr:revisionPtr revIDLastSave="0" documentId="13_ncr:1_{6DE3B2FD-1FB9-7244-A4EB-35195BB123A9}" xr6:coauthVersionLast="47" xr6:coauthVersionMax="47" xr10:uidLastSave="{00000000-0000-0000-0000-000000000000}"/>
  <bookViews>
    <workbookView xWindow="0" yWindow="660" windowWidth="29400" windowHeight="16940" activeTab="3" xr2:uid="{00000000-000D-0000-FFFF-FFFF00000000}"/>
  </bookViews>
  <sheets>
    <sheet name="表单1" sheetId="1" r:id="rId1"/>
    <sheet name="表单2" sheetId="2" r:id="rId2"/>
    <sheet name="表单3" sheetId="3" r:id="rId3"/>
    <sheet name="表单1_清洗" sheetId="4" r:id="rId4"/>
    <sheet name="表单2_清洗" sheetId="5" r:id="rId5"/>
    <sheet name="模型数据" sheetId="6" r:id="rId6"/>
    <sheet name="质量检查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D14" i="7" s="1"/>
  <c r="D11" i="7"/>
  <c r="B11" i="7"/>
  <c r="B8" i="7"/>
  <c r="D8" i="7" s="1"/>
  <c r="B7" i="7"/>
  <c r="D7" i="7" s="1"/>
  <c r="B6" i="7"/>
  <c r="D6" i="7" s="1"/>
  <c r="B5" i="7"/>
  <c r="D5" i="7" s="1"/>
  <c r="B4" i="7"/>
  <c r="D4" i="7" s="1"/>
  <c r="G66" i="6"/>
  <c r="W70" i="5"/>
  <c r="G68" i="6" s="1"/>
  <c r="U70" i="5"/>
  <c r="F68" i="6" s="1"/>
  <c r="T70" i="5"/>
  <c r="E68" i="6" s="1"/>
  <c r="S70" i="5"/>
  <c r="R70" i="5"/>
  <c r="D68" i="6" s="1"/>
  <c r="Q70" i="5"/>
  <c r="C68" i="6" s="1"/>
  <c r="W69" i="5"/>
  <c r="G67" i="6" s="1"/>
  <c r="U69" i="5"/>
  <c r="F67" i="6" s="1"/>
  <c r="T69" i="5"/>
  <c r="E67" i="6" s="1"/>
  <c r="S69" i="5"/>
  <c r="R69" i="5"/>
  <c r="D67" i="6" s="1"/>
  <c r="Q69" i="5"/>
  <c r="C67" i="6" s="1"/>
  <c r="W68" i="5"/>
  <c r="U68" i="5"/>
  <c r="V68" i="5" s="1"/>
  <c r="T68" i="5"/>
  <c r="E66" i="6" s="1"/>
  <c r="S68" i="5"/>
  <c r="R68" i="5"/>
  <c r="D66" i="6" s="1"/>
  <c r="Q68" i="5"/>
  <c r="C66" i="6" s="1"/>
  <c r="AD67" i="5"/>
  <c r="N65" i="6" s="1"/>
  <c r="AC67" i="5"/>
  <c r="M65" i="6" s="1"/>
  <c r="W67" i="5"/>
  <c r="G65" i="6" s="1"/>
  <c r="V67" i="5"/>
  <c r="AK67" i="5" s="1"/>
  <c r="U65" i="6" s="1"/>
  <c r="U67" i="5"/>
  <c r="F65" i="6" s="1"/>
  <c r="S67" i="5"/>
  <c r="T67" i="5" s="1"/>
  <c r="E65" i="6" s="1"/>
  <c r="R67" i="5"/>
  <c r="D65" i="6" s="1"/>
  <c r="Q67" i="5"/>
  <c r="C65" i="6" s="1"/>
  <c r="W66" i="5"/>
  <c r="G64" i="6" s="1"/>
  <c r="U66" i="5"/>
  <c r="T66" i="5"/>
  <c r="E64" i="6" s="1"/>
  <c r="S66" i="5"/>
  <c r="R66" i="5"/>
  <c r="D64" i="6" s="1"/>
  <c r="Q66" i="5"/>
  <c r="C64" i="6" s="1"/>
  <c r="W65" i="5"/>
  <c r="G63" i="6" s="1"/>
  <c r="V65" i="5"/>
  <c r="U65" i="5"/>
  <c r="F63" i="6" s="1"/>
  <c r="S65" i="5"/>
  <c r="T65" i="5" s="1"/>
  <c r="E63" i="6" s="1"/>
  <c r="R65" i="5"/>
  <c r="D63" i="6" s="1"/>
  <c r="Q65" i="5"/>
  <c r="C63" i="6" s="1"/>
  <c r="W64" i="5"/>
  <c r="G62" i="6" s="1"/>
  <c r="U64" i="5"/>
  <c r="T64" i="5"/>
  <c r="E62" i="6" s="1"/>
  <c r="S64" i="5"/>
  <c r="R64" i="5"/>
  <c r="D62" i="6" s="1"/>
  <c r="Q64" i="5"/>
  <c r="C62" i="6" s="1"/>
  <c r="W63" i="5"/>
  <c r="G61" i="6" s="1"/>
  <c r="U63" i="5"/>
  <c r="F61" i="6" s="1"/>
  <c r="S63" i="5"/>
  <c r="T63" i="5" s="1"/>
  <c r="E61" i="6" s="1"/>
  <c r="R63" i="5"/>
  <c r="D61" i="6" s="1"/>
  <c r="Q63" i="5"/>
  <c r="C61" i="6" s="1"/>
  <c r="W62" i="5"/>
  <c r="G60" i="6" s="1"/>
  <c r="U62" i="5"/>
  <c r="S62" i="5"/>
  <c r="T62" i="5" s="1"/>
  <c r="E60" i="6" s="1"/>
  <c r="R62" i="5"/>
  <c r="D60" i="6" s="1"/>
  <c r="Q62" i="5"/>
  <c r="C60" i="6" s="1"/>
  <c r="W61" i="5"/>
  <c r="G59" i="6" s="1"/>
  <c r="U61" i="5"/>
  <c r="F59" i="6" s="1"/>
  <c r="T61" i="5"/>
  <c r="E59" i="6" s="1"/>
  <c r="S61" i="5"/>
  <c r="R61" i="5"/>
  <c r="D59" i="6" s="1"/>
  <c r="Q61" i="5"/>
  <c r="C59" i="6" s="1"/>
  <c r="AK60" i="5"/>
  <c r="U58" i="6" s="1"/>
  <c r="AF60" i="5"/>
  <c r="P58" i="6" s="1"/>
  <c r="AB60" i="5"/>
  <c r="L58" i="6" s="1"/>
  <c r="AA60" i="5"/>
  <c r="K58" i="6" s="1"/>
  <c r="Y60" i="5"/>
  <c r="I58" i="6" s="1"/>
  <c r="X60" i="5"/>
  <c r="H58" i="6" s="1"/>
  <c r="W60" i="5"/>
  <c r="G58" i="6" s="1"/>
  <c r="V60" i="5"/>
  <c r="U60" i="5"/>
  <c r="F58" i="6" s="1"/>
  <c r="T60" i="5"/>
  <c r="E58" i="6" s="1"/>
  <c r="S60" i="5"/>
  <c r="R60" i="5"/>
  <c r="D58" i="6" s="1"/>
  <c r="Q60" i="5"/>
  <c r="C58" i="6" s="1"/>
  <c r="W59" i="5"/>
  <c r="G57" i="6" s="1"/>
  <c r="U59" i="5"/>
  <c r="T59" i="5"/>
  <c r="E57" i="6" s="1"/>
  <c r="S59" i="5"/>
  <c r="R59" i="5"/>
  <c r="D57" i="6" s="1"/>
  <c r="Q59" i="5"/>
  <c r="C57" i="6" s="1"/>
  <c r="W58" i="5"/>
  <c r="G56" i="6" s="1"/>
  <c r="U58" i="5"/>
  <c r="F56" i="6" s="1"/>
  <c r="T58" i="5"/>
  <c r="E56" i="6" s="1"/>
  <c r="S58" i="5"/>
  <c r="R58" i="5"/>
  <c r="D56" i="6" s="1"/>
  <c r="Q58" i="5"/>
  <c r="C56" i="6" s="1"/>
  <c r="W57" i="5"/>
  <c r="G55" i="6" s="1"/>
  <c r="U57" i="5"/>
  <c r="S57" i="5"/>
  <c r="T57" i="5" s="1"/>
  <c r="E55" i="6" s="1"/>
  <c r="R57" i="5"/>
  <c r="D55" i="6" s="1"/>
  <c r="Q57" i="5"/>
  <c r="C55" i="6" s="1"/>
  <c r="W56" i="5"/>
  <c r="G54" i="6" s="1"/>
  <c r="U56" i="5"/>
  <c r="F54" i="6" s="1"/>
  <c r="T56" i="5"/>
  <c r="E54" i="6" s="1"/>
  <c r="S56" i="5"/>
  <c r="R56" i="5"/>
  <c r="D54" i="6" s="1"/>
  <c r="Q56" i="5"/>
  <c r="C54" i="6" s="1"/>
  <c r="AF55" i="5"/>
  <c r="P53" i="6" s="1"/>
  <c r="AC55" i="5"/>
  <c r="M53" i="6" s="1"/>
  <c r="AA55" i="5"/>
  <c r="K53" i="6" s="1"/>
  <c r="W55" i="5"/>
  <c r="G53" i="6" s="1"/>
  <c r="V55" i="5"/>
  <c r="AH55" i="5" s="1"/>
  <c r="R53" i="6" s="1"/>
  <c r="U55" i="5"/>
  <c r="F53" i="6" s="1"/>
  <c r="S55" i="5"/>
  <c r="T55" i="5" s="1"/>
  <c r="E53" i="6" s="1"/>
  <c r="R55" i="5"/>
  <c r="D53" i="6" s="1"/>
  <c r="Q55" i="5"/>
  <c r="C53" i="6" s="1"/>
  <c r="W54" i="5"/>
  <c r="G52" i="6" s="1"/>
  <c r="U54" i="5"/>
  <c r="S54" i="5"/>
  <c r="T54" i="5" s="1"/>
  <c r="E52" i="6" s="1"/>
  <c r="R54" i="5"/>
  <c r="D52" i="6" s="1"/>
  <c r="Q54" i="5"/>
  <c r="C52" i="6" s="1"/>
  <c r="AK53" i="5"/>
  <c r="U51" i="6" s="1"/>
  <c r="AC53" i="5"/>
  <c r="M51" i="6" s="1"/>
  <c r="Z53" i="5"/>
  <c r="J51" i="6" s="1"/>
  <c r="Y53" i="5"/>
  <c r="I51" i="6" s="1"/>
  <c r="W53" i="5"/>
  <c r="G51" i="6" s="1"/>
  <c r="V53" i="5"/>
  <c r="AF53" i="5" s="1"/>
  <c r="P51" i="6" s="1"/>
  <c r="U53" i="5"/>
  <c r="F51" i="6" s="1"/>
  <c r="T53" i="5"/>
  <c r="E51" i="6" s="1"/>
  <c r="S53" i="5"/>
  <c r="R53" i="5"/>
  <c r="D51" i="6" s="1"/>
  <c r="Q53" i="5"/>
  <c r="C51" i="6" s="1"/>
  <c r="AK52" i="5"/>
  <c r="U50" i="6" s="1"/>
  <c r="AI52" i="5"/>
  <c r="S50" i="6" s="1"/>
  <c r="AC52" i="5"/>
  <c r="M50" i="6" s="1"/>
  <c r="Y52" i="5"/>
  <c r="I50" i="6" s="1"/>
  <c r="X52" i="5"/>
  <c r="H50" i="6" s="1"/>
  <c r="W52" i="5"/>
  <c r="G50" i="6" s="1"/>
  <c r="V52" i="5"/>
  <c r="AF52" i="5" s="1"/>
  <c r="P50" i="6" s="1"/>
  <c r="U52" i="5"/>
  <c r="F50" i="6" s="1"/>
  <c r="T52" i="5"/>
  <c r="E50" i="6" s="1"/>
  <c r="S52" i="5"/>
  <c r="R52" i="5"/>
  <c r="D50" i="6" s="1"/>
  <c r="Q52" i="5"/>
  <c r="C50" i="6" s="1"/>
  <c r="AJ51" i="5"/>
  <c r="T49" i="6" s="1"/>
  <c r="AI51" i="5"/>
  <c r="S49" i="6" s="1"/>
  <c r="AC51" i="5"/>
  <c r="M49" i="6" s="1"/>
  <c r="Y51" i="5"/>
  <c r="I49" i="6" s="1"/>
  <c r="X51" i="5"/>
  <c r="H49" i="6" s="1"/>
  <c r="W51" i="5"/>
  <c r="G49" i="6" s="1"/>
  <c r="V51" i="5"/>
  <c r="AF51" i="5" s="1"/>
  <c r="P49" i="6" s="1"/>
  <c r="U51" i="5"/>
  <c r="F49" i="6" s="1"/>
  <c r="S51" i="5"/>
  <c r="T51" i="5" s="1"/>
  <c r="E49" i="6" s="1"/>
  <c r="R51" i="5"/>
  <c r="D49" i="6" s="1"/>
  <c r="Q51" i="5"/>
  <c r="C49" i="6" s="1"/>
  <c r="W50" i="5"/>
  <c r="G48" i="6" s="1"/>
  <c r="U50" i="5"/>
  <c r="F48" i="6" s="1"/>
  <c r="T50" i="5"/>
  <c r="E48" i="6" s="1"/>
  <c r="S50" i="5"/>
  <c r="R50" i="5"/>
  <c r="D48" i="6" s="1"/>
  <c r="Q50" i="5"/>
  <c r="C48" i="6" s="1"/>
  <c r="AC49" i="5"/>
  <c r="M47" i="6" s="1"/>
  <c r="AB49" i="5"/>
  <c r="L47" i="6" s="1"/>
  <c r="W49" i="5"/>
  <c r="G47" i="6" s="1"/>
  <c r="V49" i="5"/>
  <c r="AJ49" i="5" s="1"/>
  <c r="T47" i="6" s="1"/>
  <c r="U49" i="5"/>
  <c r="F47" i="6" s="1"/>
  <c r="T49" i="5"/>
  <c r="E47" i="6" s="1"/>
  <c r="S49" i="5"/>
  <c r="R49" i="5"/>
  <c r="D47" i="6" s="1"/>
  <c r="Q49" i="5"/>
  <c r="C47" i="6" s="1"/>
  <c r="W48" i="5"/>
  <c r="G46" i="6" s="1"/>
  <c r="U48" i="5"/>
  <c r="F46" i="6" s="1"/>
  <c r="T48" i="5"/>
  <c r="E46" i="6" s="1"/>
  <c r="S48" i="5"/>
  <c r="R48" i="5"/>
  <c r="D46" i="6" s="1"/>
  <c r="Q48" i="5"/>
  <c r="C46" i="6" s="1"/>
  <c r="AG47" i="5"/>
  <c r="Q45" i="6" s="1"/>
  <c r="W47" i="5"/>
  <c r="G45" i="6" s="1"/>
  <c r="V47" i="5"/>
  <c r="AD47" i="5" s="1"/>
  <c r="N45" i="6" s="1"/>
  <c r="U47" i="5"/>
  <c r="F45" i="6" s="1"/>
  <c r="T47" i="5"/>
  <c r="E45" i="6" s="1"/>
  <c r="S47" i="5"/>
  <c r="R47" i="5"/>
  <c r="D45" i="6" s="1"/>
  <c r="Q47" i="5"/>
  <c r="C45" i="6" s="1"/>
  <c r="AI46" i="5"/>
  <c r="S44" i="6" s="1"/>
  <c r="AH46" i="5"/>
  <c r="R44" i="6" s="1"/>
  <c r="AB46" i="5"/>
  <c r="L44" i="6" s="1"/>
  <c r="Y46" i="5"/>
  <c r="I44" i="6" s="1"/>
  <c r="X46" i="5"/>
  <c r="H44" i="6" s="1"/>
  <c r="W46" i="5"/>
  <c r="G44" i="6" s="1"/>
  <c r="V46" i="5"/>
  <c r="AF46" i="5" s="1"/>
  <c r="P44" i="6" s="1"/>
  <c r="U46" i="5"/>
  <c r="F44" i="6" s="1"/>
  <c r="S46" i="5"/>
  <c r="T46" i="5" s="1"/>
  <c r="E44" i="6" s="1"/>
  <c r="R46" i="5"/>
  <c r="D44" i="6" s="1"/>
  <c r="Q46" i="5"/>
  <c r="C44" i="6" s="1"/>
  <c r="W45" i="5"/>
  <c r="G43" i="6" s="1"/>
  <c r="U45" i="5"/>
  <c r="F43" i="6" s="1"/>
  <c r="T45" i="5"/>
  <c r="E43" i="6" s="1"/>
  <c r="S45" i="5"/>
  <c r="R45" i="5"/>
  <c r="D43" i="6" s="1"/>
  <c r="Q45" i="5"/>
  <c r="C43" i="6" s="1"/>
  <c r="AC44" i="5"/>
  <c r="M42" i="6" s="1"/>
  <c r="W44" i="5"/>
  <c r="G42" i="6" s="1"/>
  <c r="V44" i="5"/>
  <c r="AJ44" i="5" s="1"/>
  <c r="T42" i="6" s="1"/>
  <c r="U44" i="5"/>
  <c r="F42" i="6" s="1"/>
  <c r="S44" i="5"/>
  <c r="T44" i="5" s="1"/>
  <c r="E42" i="6" s="1"/>
  <c r="R44" i="5"/>
  <c r="D42" i="6" s="1"/>
  <c r="Q44" i="5"/>
  <c r="C42" i="6" s="1"/>
  <c r="W43" i="5"/>
  <c r="G41" i="6" s="1"/>
  <c r="U43" i="5"/>
  <c r="T43" i="5"/>
  <c r="E41" i="6" s="1"/>
  <c r="S43" i="5"/>
  <c r="R43" i="5"/>
  <c r="D41" i="6" s="1"/>
  <c r="Q43" i="5"/>
  <c r="C41" i="6" s="1"/>
  <c r="AG42" i="5"/>
  <c r="Q40" i="6" s="1"/>
  <c r="W42" i="5"/>
  <c r="G40" i="6" s="1"/>
  <c r="V42" i="5"/>
  <c r="AD42" i="5" s="1"/>
  <c r="N40" i="6" s="1"/>
  <c r="U42" i="5"/>
  <c r="F40" i="6" s="1"/>
  <c r="T42" i="5"/>
  <c r="E40" i="6" s="1"/>
  <c r="S42" i="5"/>
  <c r="R42" i="5"/>
  <c r="D40" i="6" s="1"/>
  <c r="Q42" i="5"/>
  <c r="C40" i="6" s="1"/>
  <c r="AI41" i="5"/>
  <c r="S39" i="6" s="1"/>
  <c r="AH41" i="5"/>
  <c r="R39" i="6" s="1"/>
  <c r="AB41" i="5"/>
  <c r="L39" i="6" s="1"/>
  <c r="Y41" i="5"/>
  <c r="I39" i="6" s="1"/>
  <c r="X41" i="5"/>
  <c r="H39" i="6" s="1"/>
  <c r="W41" i="5"/>
  <c r="G39" i="6" s="1"/>
  <c r="V41" i="5"/>
  <c r="AF41" i="5" s="1"/>
  <c r="P39" i="6" s="1"/>
  <c r="U41" i="5"/>
  <c r="F39" i="6" s="1"/>
  <c r="S41" i="5"/>
  <c r="T41" i="5" s="1"/>
  <c r="E39" i="6" s="1"/>
  <c r="R41" i="5"/>
  <c r="D39" i="6" s="1"/>
  <c r="Q41" i="5"/>
  <c r="C39" i="6" s="1"/>
  <c r="W40" i="5"/>
  <c r="G38" i="6" s="1"/>
  <c r="U40" i="5"/>
  <c r="F38" i="6" s="1"/>
  <c r="T40" i="5"/>
  <c r="E38" i="6" s="1"/>
  <c r="S40" i="5"/>
  <c r="R40" i="5"/>
  <c r="D38" i="6" s="1"/>
  <c r="Q40" i="5"/>
  <c r="C38" i="6" s="1"/>
  <c r="AC39" i="5"/>
  <c r="M37" i="6" s="1"/>
  <c r="W39" i="5"/>
  <c r="G37" i="6" s="1"/>
  <c r="V39" i="5"/>
  <c r="AJ39" i="5" s="1"/>
  <c r="T37" i="6" s="1"/>
  <c r="U39" i="5"/>
  <c r="F37" i="6" s="1"/>
  <c r="S39" i="5"/>
  <c r="T39" i="5" s="1"/>
  <c r="E37" i="6" s="1"/>
  <c r="R39" i="5"/>
  <c r="D37" i="6" s="1"/>
  <c r="Q39" i="5"/>
  <c r="C37" i="6" s="1"/>
  <c r="W38" i="5"/>
  <c r="G36" i="6" s="1"/>
  <c r="U38" i="5"/>
  <c r="T38" i="5"/>
  <c r="E36" i="6" s="1"/>
  <c r="S38" i="5"/>
  <c r="R38" i="5"/>
  <c r="D36" i="6" s="1"/>
  <c r="Q38" i="5"/>
  <c r="C36" i="6" s="1"/>
  <c r="AJ37" i="5"/>
  <c r="T35" i="6" s="1"/>
  <c r="AG37" i="5"/>
  <c r="Q35" i="6" s="1"/>
  <c r="Z37" i="5"/>
  <c r="J35" i="6" s="1"/>
  <c r="W37" i="5"/>
  <c r="G35" i="6" s="1"/>
  <c r="V37" i="5"/>
  <c r="AD37" i="5" s="1"/>
  <c r="N35" i="6" s="1"/>
  <c r="U37" i="5"/>
  <c r="F35" i="6" s="1"/>
  <c r="T37" i="5"/>
  <c r="E35" i="6" s="1"/>
  <c r="S37" i="5"/>
  <c r="R37" i="5"/>
  <c r="D35" i="6" s="1"/>
  <c r="Q37" i="5"/>
  <c r="C35" i="6" s="1"/>
  <c r="AI36" i="5"/>
  <c r="S34" i="6" s="1"/>
  <c r="AH36" i="5"/>
  <c r="R34" i="6" s="1"/>
  <c r="AB36" i="5"/>
  <c r="L34" i="6" s="1"/>
  <c r="Y36" i="5"/>
  <c r="I34" i="6" s="1"/>
  <c r="X36" i="5"/>
  <c r="H34" i="6" s="1"/>
  <c r="W36" i="5"/>
  <c r="G34" i="6" s="1"/>
  <c r="V36" i="5"/>
  <c r="AF36" i="5" s="1"/>
  <c r="P34" i="6" s="1"/>
  <c r="U36" i="5"/>
  <c r="F34" i="6" s="1"/>
  <c r="S36" i="5"/>
  <c r="T36" i="5" s="1"/>
  <c r="E34" i="6" s="1"/>
  <c r="R36" i="5"/>
  <c r="D34" i="6" s="1"/>
  <c r="Q36" i="5"/>
  <c r="C34" i="6" s="1"/>
  <c r="W35" i="5"/>
  <c r="G33" i="6" s="1"/>
  <c r="U35" i="5"/>
  <c r="F33" i="6" s="1"/>
  <c r="T35" i="5"/>
  <c r="E33" i="6" s="1"/>
  <c r="S35" i="5"/>
  <c r="R35" i="5"/>
  <c r="D33" i="6" s="1"/>
  <c r="Q35" i="5"/>
  <c r="C33" i="6" s="1"/>
  <c r="AF34" i="5"/>
  <c r="P32" i="6" s="1"/>
  <c r="AC34" i="5"/>
  <c r="M32" i="6" s="1"/>
  <c r="W34" i="5"/>
  <c r="G32" i="6" s="1"/>
  <c r="V34" i="5"/>
  <c r="U34" i="5"/>
  <c r="F32" i="6" s="1"/>
  <c r="T34" i="5"/>
  <c r="E32" i="6" s="1"/>
  <c r="S34" i="5"/>
  <c r="R34" i="5"/>
  <c r="D32" i="6" s="1"/>
  <c r="Q34" i="5"/>
  <c r="C32" i="6" s="1"/>
  <c r="W33" i="5"/>
  <c r="G31" i="6" s="1"/>
  <c r="U33" i="5"/>
  <c r="T33" i="5"/>
  <c r="E31" i="6" s="1"/>
  <c r="S33" i="5"/>
  <c r="R33" i="5"/>
  <c r="D31" i="6" s="1"/>
  <c r="Q33" i="5"/>
  <c r="C31" i="6" s="1"/>
  <c r="AJ32" i="5"/>
  <c r="T30" i="6" s="1"/>
  <c r="AG32" i="5"/>
  <c r="Q30" i="6" s="1"/>
  <c r="AF32" i="5"/>
  <c r="P30" i="6" s="1"/>
  <c r="W32" i="5"/>
  <c r="G30" i="6" s="1"/>
  <c r="V32" i="5"/>
  <c r="Z32" i="5" s="1"/>
  <c r="J30" i="6" s="1"/>
  <c r="U32" i="5"/>
  <c r="F30" i="6" s="1"/>
  <c r="S32" i="5"/>
  <c r="T32" i="5" s="1"/>
  <c r="E30" i="6" s="1"/>
  <c r="R32" i="5"/>
  <c r="D30" i="6" s="1"/>
  <c r="Q32" i="5"/>
  <c r="C30" i="6" s="1"/>
  <c r="W31" i="5"/>
  <c r="G29" i="6" s="1"/>
  <c r="U31" i="5"/>
  <c r="F29" i="6" s="1"/>
  <c r="T31" i="5"/>
  <c r="E29" i="6" s="1"/>
  <c r="S31" i="5"/>
  <c r="R31" i="5"/>
  <c r="D29" i="6" s="1"/>
  <c r="Q31" i="5"/>
  <c r="C29" i="6" s="1"/>
  <c r="W30" i="5"/>
  <c r="G28" i="6" s="1"/>
  <c r="U30" i="5"/>
  <c r="F28" i="6" s="1"/>
  <c r="T30" i="5"/>
  <c r="E28" i="6" s="1"/>
  <c r="S30" i="5"/>
  <c r="R30" i="5"/>
  <c r="D28" i="6" s="1"/>
  <c r="Q30" i="5"/>
  <c r="C28" i="6" s="1"/>
  <c r="AC29" i="5"/>
  <c r="M27" i="6" s="1"/>
  <c r="AB29" i="5"/>
  <c r="L27" i="6" s="1"/>
  <c r="W29" i="5"/>
  <c r="G27" i="6" s="1"/>
  <c r="V29" i="5"/>
  <c r="U29" i="5"/>
  <c r="F27" i="6" s="1"/>
  <c r="T29" i="5"/>
  <c r="E27" i="6" s="1"/>
  <c r="S29" i="5"/>
  <c r="R29" i="5"/>
  <c r="D27" i="6" s="1"/>
  <c r="Q29" i="5"/>
  <c r="C27" i="6" s="1"/>
  <c r="W28" i="5"/>
  <c r="G26" i="6" s="1"/>
  <c r="U28" i="5"/>
  <c r="T28" i="5"/>
  <c r="E26" i="6" s="1"/>
  <c r="S28" i="5"/>
  <c r="R28" i="5"/>
  <c r="D26" i="6" s="1"/>
  <c r="Q28" i="5"/>
  <c r="C26" i="6" s="1"/>
  <c r="W27" i="5"/>
  <c r="G25" i="6" s="1"/>
  <c r="V27" i="5"/>
  <c r="U27" i="5"/>
  <c r="F25" i="6" s="1"/>
  <c r="T27" i="5"/>
  <c r="E25" i="6" s="1"/>
  <c r="S27" i="5"/>
  <c r="R27" i="5"/>
  <c r="D25" i="6" s="1"/>
  <c r="Q27" i="5"/>
  <c r="C25" i="6" s="1"/>
  <c r="W26" i="5"/>
  <c r="G24" i="6" s="1"/>
  <c r="U26" i="5"/>
  <c r="F24" i="6" s="1"/>
  <c r="S26" i="5"/>
  <c r="T26" i="5" s="1"/>
  <c r="E24" i="6" s="1"/>
  <c r="R26" i="5"/>
  <c r="D24" i="6" s="1"/>
  <c r="Q26" i="5"/>
  <c r="C24" i="6" s="1"/>
  <c r="W25" i="5"/>
  <c r="G23" i="6" s="1"/>
  <c r="U25" i="5"/>
  <c r="F23" i="6" s="1"/>
  <c r="S25" i="5"/>
  <c r="T25" i="5" s="1"/>
  <c r="E23" i="6" s="1"/>
  <c r="R25" i="5"/>
  <c r="D23" i="6" s="1"/>
  <c r="Q25" i="5"/>
  <c r="C23" i="6" s="1"/>
  <c r="W24" i="5"/>
  <c r="G22" i="6" s="1"/>
  <c r="U24" i="5"/>
  <c r="F22" i="6" s="1"/>
  <c r="S24" i="5"/>
  <c r="T24" i="5" s="1"/>
  <c r="E22" i="6" s="1"/>
  <c r="R24" i="5"/>
  <c r="D22" i="6" s="1"/>
  <c r="Q24" i="5"/>
  <c r="C22" i="6" s="1"/>
  <c r="W23" i="5"/>
  <c r="G21" i="6" s="1"/>
  <c r="U23" i="5"/>
  <c r="T23" i="5"/>
  <c r="E21" i="6" s="1"/>
  <c r="S23" i="5"/>
  <c r="R23" i="5"/>
  <c r="D21" i="6" s="1"/>
  <c r="Q23" i="5"/>
  <c r="C21" i="6" s="1"/>
  <c r="AJ22" i="5"/>
  <c r="T20" i="6" s="1"/>
  <c r="AI22" i="5"/>
  <c r="S20" i="6" s="1"/>
  <c r="AG22" i="5"/>
  <c r="Q20" i="6" s="1"/>
  <c r="AF22" i="5"/>
  <c r="P20" i="6" s="1"/>
  <c r="AC22" i="5"/>
  <c r="M20" i="6" s="1"/>
  <c r="Z22" i="5"/>
  <c r="J20" i="6" s="1"/>
  <c r="Y22" i="5"/>
  <c r="I20" i="6" s="1"/>
  <c r="W22" i="5"/>
  <c r="G20" i="6" s="1"/>
  <c r="V22" i="5"/>
  <c r="U22" i="5"/>
  <c r="F20" i="6" s="1"/>
  <c r="S22" i="5"/>
  <c r="T22" i="5" s="1"/>
  <c r="E20" i="6" s="1"/>
  <c r="R22" i="5"/>
  <c r="D20" i="6" s="1"/>
  <c r="Q22" i="5"/>
  <c r="C20" i="6" s="1"/>
  <c r="AK21" i="5"/>
  <c r="AI21" i="5"/>
  <c r="AH21" i="5"/>
  <c r="AE21" i="5"/>
  <c r="W21" i="5"/>
  <c r="U21" i="5"/>
  <c r="V21" i="5" s="1"/>
  <c r="AB21" i="5" s="1"/>
  <c r="S21" i="5"/>
  <c r="T21" i="5" s="1"/>
  <c r="R21" i="5"/>
  <c r="Q21" i="5"/>
  <c r="W20" i="5"/>
  <c r="G19" i="6" s="1"/>
  <c r="U20" i="5"/>
  <c r="F19" i="6" s="1"/>
  <c r="S20" i="5"/>
  <c r="T20" i="5" s="1"/>
  <c r="E19" i="6" s="1"/>
  <c r="R20" i="5"/>
  <c r="D19" i="6" s="1"/>
  <c r="Q20" i="5"/>
  <c r="C19" i="6" s="1"/>
  <c r="AL19" i="5"/>
  <c r="AI19" i="5"/>
  <c r="AF19" i="5"/>
  <c r="AE19" i="5"/>
  <c r="AC19" i="5"/>
  <c r="AB19" i="5"/>
  <c r="Y19" i="5"/>
  <c r="W19" i="5"/>
  <c r="V19" i="5"/>
  <c r="U19" i="5"/>
  <c r="S19" i="5"/>
  <c r="T19" i="5" s="1"/>
  <c r="R19" i="5"/>
  <c r="Q19" i="5"/>
  <c r="W18" i="5"/>
  <c r="G18" i="6" s="1"/>
  <c r="U18" i="5"/>
  <c r="T18" i="5"/>
  <c r="E18" i="6" s="1"/>
  <c r="S18" i="5"/>
  <c r="R18" i="5"/>
  <c r="D18" i="6" s="1"/>
  <c r="Q18" i="5"/>
  <c r="C18" i="6" s="1"/>
  <c r="AJ17" i="5"/>
  <c r="T17" i="6" s="1"/>
  <c r="AI17" i="5"/>
  <c r="S17" i="6" s="1"/>
  <c r="W17" i="5"/>
  <c r="G17" i="6" s="1"/>
  <c r="V17" i="5"/>
  <c r="AG17" i="5" s="1"/>
  <c r="Q17" i="6" s="1"/>
  <c r="U17" i="5"/>
  <c r="F17" i="6" s="1"/>
  <c r="S17" i="5"/>
  <c r="T17" i="5" s="1"/>
  <c r="E17" i="6" s="1"/>
  <c r="R17" i="5"/>
  <c r="D17" i="6" s="1"/>
  <c r="Q17" i="5"/>
  <c r="C17" i="6" s="1"/>
  <c r="W16" i="5"/>
  <c r="G16" i="6" s="1"/>
  <c r="U16" i="5"/>
  <c r="S16" i="5"/>
  <c r="T16" i="5" s="1"/>
  <c r="E16" i="6" s="1"/>
  <c r="R16" i="5"/>
  <c r="D16" i="6" s="1"/>
  <c r="Q16" i="5"/>
  <c r="C16" i="6" s="1"/>
  <c r="W15" i="5"/>
  <c r="G15" i="6" s="1"/>
  <c r="U15" i="5"/>
  <c r="F15" i="6" s="1"/>
  <c r="S15" i="5"/>
  <c r="T15" i="5" s="1"/>
  <c r="E15" i="6" s="1"/>
  <c r="R15" i="5"/>
  <c r="D15" i="6" s="1"/>
  <c r="Q15" i="5"/>
  <c r="C15" i="6" s="1"/>
  <c r="W14" i="5"/>
  <c r="G14" i="6" s="1"/>
  <c r="U14" i="5"/>
  <c r="F14" i="6" s="1"/>
  <c r="T14" i="5"/>
  <c r="E14" i="6" s="1"/>
  <c r="S14" i="5"/>
  <c r="R14" i="5"/>
  <c r="D14" i="6" s="1"/>
  <c r="Q14" i="5"/>
  <c r="C14" i="6" s="1"/>
  <c r="AG13" i="5"/>
  <c r="Q13" i="6" s="1"/>
  <c r="AF13" i="5"/>
  <c r="P13" i="6" s="1"/>
  <c r="AE13" i="5"/>
  <c r="O13" i="6" s="1"/>
  <c r="AD13" i="5"/>
  <c r="N13" i="6" s="1"/>
  <c r="AA13" i="5"/>
  <c r="K13" i="6" s="1"/>
  <c r="W13" i="5"/>
  <c r="G13" i="6" s="1"/>
  <c r="V13" i="5"/>
  <c r="U13" i="5"/>
  <c r="F13" i="6" s="1"/>
  <c r="T13" i="5"/>
  <c r="E13" i="6" s="1"/>
  <c r="S13" i="5"/>
  <c r="R13" i="5"/>
  <c r="D13" i="6" s="1"/>
  <c r="Q13" i="5"/>
  <c r="C13" i="6" s="1"/>
  <c r="W12" i="5"/>
  <c r="G12" i="6" s="1"/>
  <c r="V12" i="5"/>
  <c r="AI12" i="5" s="1"/>
  <c r="S12" i="6" s="1"/>
  <c r="U12" i="5"/>
  <c r="F12" i="6" s="1"/>
  <c r="T12" i="5"/>
  <c r="E12" i="6" s="1"/>
  <c r="S12" i="5"/>
  <c r="R12" i="5"/>
  <c r="D12" i="6" s="1"/>
  <c r="Q12" i="5"/>
  <c r="C12" i="6" s="1"/>
  <c r="W11" i="5"/>
  <c r="G11" i="6" s="1"/>
  <c r="U11" i="5"/>
  <c r="S11" i="5"/>
  <c r="T11" i="5" s="1"/>
  <c r="E11" i="6" s="1"/>
  <c r="R11" i="5"/>
  <c r="D11" i="6" s="1"/>
  <c r="Q11" i="5"/>
  <c r="C11" i="6" s="1"/>
  <c r="W10" i="5"/>
  <c r="G10" i="6" s="1"/>
  <c r="U10" i="5"/>
  <c r="S10" i="5"/>
  <c r="T10" i="5" s="1"/>
  <c r="E10" i="6" s="1"/>
  <c r="R10" i="5"/>
  <c r="D10" i="6" s="1"/>
  <c r="Q10" i="5"/>
  <c r="C10" i="6" s="1"/>
  <c r="W9" i="5"/>
  <c r="G9" i="6" s="1"/>
  <c r="U9" i="5"/>
  <c r="F9" i="6" s="1"/>
  <c r="T9" i="5"/>
  <c r="E9" i="6" s="1"/>
  <c r="S9" i="5"/>
  <c r="R9" i="5"/>
  <c r="D9" i="6" s="1"/>
  <c r="Q9" i="5"/>
  <c r="C9" i="6" s="1"/>
  <c r="W8" i="5"/>
  <c r="G8" i="6" s="1"/>
  <c r="U8" i="5"/>
  <c r="F8" i="6" s="1"/>
  <c r="S8" i="5"/>
  <c r="T8" i="5" s="1"/>
  <c r="E8" i="6" s="1"/>
  <c r="R8" i="5"/>
  <c r="D8" i="6" s="1"/>
  <c r="Q8" i="5"/>
  <c r="C8" i="6" s="1"/>
  <c r="AF7" i="5"/>
  <c r="P7" i="6" s="1"/>
  <c r="AE7" i="5"/>
  <c r="O7" i="6" s="1"/>
  <c r="AC7" i="5"/>
  <c r="M7" i="6" s="1"/>
  <c r="AA7" i="5"/>
  <c r="K7" i="6" s="1"/>
  <c r="W7" i="5"/>
  <c r="G7" i="6" s="1"/>
  <c r="V7" i="5"/>
  <c r="AG7" i="5" s="1"/>
  <c r="Q7" i="6" s="1"/>
  <c r="U7" i="5"/>
  <c r="F7" i="6" s="1"/>
  <c r="S7" i="5"/>
  <c r="T7" i="5" s="1"/>
  <c r="E7" i="6" s="1"/>
  <c r="R7" i="5"/>
  <c r="D7" i="6" s="1"/>
  <c r="Q7" i="5"/>
  <c r="C7" i="6" s="1"/>
  <c r="AE6" i="5"/>
  <c r="O6" i="6" s="1"/>
  <c r="AC6" i="5"/>
  <c r="M6" i="6" s="1"/>
  <c r="AB6" i="5"/>
  <c r="L6" i="6" s="1"/>
  <c r="AA6" i="5"/>
  <c r="K6" i="6" s="1"/>
  <c r="W6" i="5"/>
  <c r="G6" i="6" s="1"/>
  <c r="V6" i="5"/>
  <c r="AD6" i="5" s="1"/>
  <c r="N6" i="6" s="1"/>
  <c r="U6" i="5"/>
  <c r="F6" i="6" s="1"/>
  <c r="S6" i="5"/>
  <c r="T6" i="5" s="1"/>
  <c r="E6" i="6" s="1"/>
  <c r="R6" i="5"/>
  <c r="D6" i="6" s="1"/>
  <c r="Q6" i="5"/>
  <c r="C6" i="6" s="1"/>
  <c r="W5" i="5"/>
  <c r="G5" i="6" s="1"/>
  <c r="U5" i="5"/>
  <c r="S5" i="5"/>
  <c r="T5" i="5" s="1"/>
  <c r="E5" i="6" s="1"/>
  <c r="R5" i="5"/>
  <c r="D5" i="6" s="1"/>
  <c r="Q5" i="5"/>
  <c r="C5" i="6" s="1"/>
  <c r="W4" i="5"/>
  <c r="G4" i="6" s="1"/>
  <c r="U4" i="5"/>
  <c r="F4" i="6" s="1"/>
  <c r="S4" i="5"/>
  <c r="T4" i="5" s="1"/>
  <c r="E4" i="6" s="1"/>
  <c r="R4" i="5"/>
  <c r="D4" i="6" s="1"/>
  <c r="Q4" i="5"/>
  <c r="C4" i="6" s="1"/>
  <c r="W3" i="5"/>
  <c r="G3" i="6" s="1"/>
  <c r="U3" i="5"/>
  <c r="F3" i="6" s="1"/>
  <c r="S3" i="5"/>
  <c r="T3" i="5" s="1"/>
  <c r="E3" i="6" s="1"/>
  <c r="R3" i="5"/>
  <c r="D3" i="6" s="1"/>
  <c r="Q3" i="5"/>
  <c r="C3" i="6" s="1"/>
  <c r="W2" i="5"/>
  <c r="G2" i="6" s="1"/>
  <c r="U2" i="5"/>
  <c r="F2" i="6" s="1"/>
  <c r="S2" i="5"/>
  <c r="T2" i="5" s="1"/>
  <c r="E2" i="6" s="1"/>
  <c r="R2" i="5"/>
  <c r="D2" i="6" s="1"/>
  <c r="Q2" i="5"/>
  <c r="C2" i="6" s="1"/>
  <c r="I59" i="4"/>
  <c r="H59" i="4"/>
  <c r="G59" i="4"/>
  <c r="F59" i="4"/>
  <c r="I58" i="4"/>
  <c r="H58" i="4"/>
  <c r="G58" i="4"/>
  <c r="F58" i="4"/>
  <c r="I57" i="4"/>
  <c r="H57" i="4"/>
  <c r="G57" i="4"/>
  <c r="F57" i="4"/>
  <c r="I56" i="4"/>
  <c r="H56" i="4"/>
  <c r="G56" i="4"/>
  <c r="F56" i="4"/>
  <c r="I55" i="4"/>
  <c r="H55" i="4"/>
  <c r="G55" i="4"/>
  <c r="F55" i="4"/>
  <c r="I54" i="4"/>
  <c r="H54" i="4"/>
  <c r="G54" i="4"/>
  <c r="F54" i="4"/>
  <c r="I53" i="4"/>
  <c r="H53" i="4"/>
  <c r="G53" i="4"/>
  <c r="F53" i="4"/>
  <c r="I52" i="4"/>
  <c r="H52" i="4"/>
  <c r="G52" i="4"/>
  <c r="F52" i="4"/>
  <c r="I51" i="4"/>
  <c r="H51" i="4"/>
  <c r="G51" i="4"/>
  <c r="F51" i="4"/>
  <c r="I50" i="4"/>
  <c r="H50" i="4"/>
  <c r="G50" i="4"/>
  <c r="F50" i="4"/>
  <c r="I49" i="4"/>
  <c r="H49" i="4"/>
  <c r="G49" i="4"/>
  <c r="F49" i="4"/>
  <c r="I48" i="4"/>
  <c r="H48" i="4"/>
  <c r="G48" i="4"/>
  <c r="F48" i="4"/>
  <c r="I47" i="4"/>
  <c r="H47" i="4"/>
  <c r="G47" i="4"/>
  <c r="F47" i="4"/>
  <c r="I46" i="4"/>
  <c r="H46" i="4"/>
  <c r="G46" i="4"/>
  <c r="F46" i="4"/>
  <c r="I45" i="4"/>
  <c r="H45" i="4"/>
  <c r="G45" i="4"/>
  <c r="F45" i="4"/>
  <c r="I44" i="4"/>
  <c r="H44" i="4"/>
  <c r="G44" i="4"/>
  <c r="F44" i="4"/>
  <c r="I43" i="4"/>
  <c r="H43" i="4"/>
  <c r="G43" i="4"/>
  <c r="F43" i="4"/>
  <c r="I42" i="4"/>
  <c r="H42" i="4"/>
  <c r="G42" i="4"/>
  <c r="F42" i="4"/>
  <c r="I41" i="4"/>
  <c r="H41" i="4"/>
  <c r="G41" i="4"/>
  <c r="F41" i="4"/>
  <c r="I40" i="4"/>
  <c r="H40" i="4"/>
  <c r="G40" i="4"/>
  <c r="F40" i="4"/>
  <c r="I39" i="4"/>
  <c r="H39" i="4"/>
  <c r="G39" i="4"/>
  <c r="F39" i="4"/>
  <c r="I38" i="4"/>
  <c r="H38" i="4"/>
  <c r="G38" i="4"/>
  <c r="F38" i="4"/>
  <c r="I37" i="4"/>
  <c r="H37" i="4"/>
  <c r="G37" i="4"/>
  <c r="F37" i="4"/>
  <c r="I36" i="4"/>
  <c r="H36" i="4"/>
  <c r="G36" i="4"/>
  <c r="F36" i="4"/>
  <c r="I35" i="4"/>
  <c r="H35" i="4"/>
  <c r="G35" i="4"/>
  <c r="F35" i="4"/>
  <c r="I34" i="4"/>
  <c r="H34" i="4"/>
  <c r="G34" i="4"/>
  <c r="F34" i="4"/>
  <c r="I33" i="4"/>
  <c r="H33" i="4"/>
  <c r="G33" i="4"/>
  <c r="F33" i="4"/>
  <c r="I32" i="4"/>
  <c r="H32" i="4"/>
  <c r="G32" i="4"/>
  <c r="F32" i="4"/>
  <c r="I31" i="4"/>
  <c r="H31" i="4"/>
  <c r="G31" i="4"/>
  <c r="F31" i="4"/>
  <c r="I30" i="4"/>
  <c r="H30" i="4"/>
  <c r="G30" i="4"/>
  <c r="F30" i="4"/>
  <c r="I29" i="4"/>
  <c r="H29" i="4"/>
  <c r="G29" i="4"/>
  <c r="F29" i="4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I24" i="4"/>
  <c r="H24" i="4"/>
  <c r="G24" i="4"/>
  <c r="F24" i="4"/>
  <c r="I23" i="4"/>
  <c r="H23" i="4"/>
  <c r="G23" i="4"/>
  <c r="F23" i="4"/>
  <c r="I22" i="4"/>
  <c r="H22" i="4"/>
  <c r="G22" i="4"/>
  <c r="F22" i="4"/>
  <c r="I21" i="4"/>
  <c r="H21" i="4"/>
  <c r="G21" i="4"/>
  <c r="F21" i="4"/>
  <c r="I20" i="4"/>
  <c r="H20" i="4"/>
  <c r="G20" i="4"/>
  <c r="F20" i="4"/>
  <c r="I19" i="4"/>
  <c r="H19" i="4"/>
  <c r="G19" i="4"/>
  <c r="F19" i="4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B10" i="7" s="1"/>
  <c r="D10" i="7" s="1"/>
  <c r="H2" i="4"/>
  <c r="B9" i="7" s="1"/>
  <c r="D9" i="7" s="1"/>
  <c r="G2" i="4"/>
  <c r="F2" i="4"/>
  <c r="F10" i="6" l="1"/>
  <c r="V10" i="5"/>
  <c r="AF12" i="5"/>
  <c r="P12" i="6" s="1"/>
  <c r="AB13" i="5"/>
  <c r="L13" i="6" s="1"/>
  <c r="AJ13" i="5"/>
  <c r="T13" i="6" s="1"/>
  <c r="Z13" i="5"/>
  <c r="J13" i="6" s="1"/>
  <c r="AI13" i="5"/>
  <c r="S13" i="6" s="1"/>
  <c r="Y13" i="5"/>
  <c r="I13" i="6" s="1"/>
  <c r="AC13" i="5"/>
  <c r="M13" i="6" s="1"/>
  <c r="Z6" i="5"/>
  <c r="J6" i="6" s="1"/>
  <c r="AK6" i="5"/>
  <c r="U6" i="6" s="1"/>
  <c r="Z7" i="5"/>
  <c r="J7" i="6" s="1"/>
  <c r="AH12" i="5"/>
  <c r="R12" i="6" s="1"/>
  <c r="X13" i="5"/>
  <c r="H13" i="6" s="1"/>
  <c r="AJ19" i="5"/>
  <c r="Z19" i="5"/>
  <c r="AH19" i="5"/>
  <c r="X19" i="5"/>
  <c r="AG19" i="5"/>
  <c r="AD19" i="5"/>
  <c r="AK19" i="5"/>
  <c r="AA19" i="5"/>
  <c r="AD22" i="5"/>
  <c r="N20" i="6" s="1"/>
  <c r="AB22" i="5"/>
  <c r="L20" i="6" s="1"/>
  <c r="AK22" i="5"/>
  <c r="U20" i="6" s="1"/>
  <c r="AA22" i="5"/>
  <c r="K20" i="6" s="1"/>
  <c r="AH22" i="5"/>
  <c r="R20" i="6" s="1"/>
  <c r="X22" i="5"/>
  <c r="H20" i="6" s="1"/>
  <c r="AE22" i="5"/>
  <c r="O20" i="6" s="1"/>
  <c r="AD27" i="5"/>
  <c r="N25" i="6" s="1"/>
  <c r="AC27" i="5"/>
  <c r="M25" i="6" s="1"/>
  <c r="AB27" i="5"/>
  <c r="L25" i="6" s="1"/>
  <c r="AK27" i="5"/>
  <c r="U25" i="6" s="1"/>
  <c r="AA27" i="5"/>
  <c r="K25" i="6" s="1"/>
  <c r="AH27" i="5"/>
  <c r="R25" i="6" s="1"/>
  <c r="X27" i="5"/>
  <c r="H25" i="6" s="1"/>
  <c r="AE27" i="5"/>
  <c r="O25" i="6" s="1"/>
  <c r="AD12" i="5"/>
  <c r="N12" i="6" s="1"/>
  <c r="AB12" i="5"/>
  <c r="L12" i="6" s="1"/>
  <c r="AK12" i="5"/>
  <c r="U12" i="6" s="1"/>
  <c r="AA12" i="5"/>
  <c r="K12" i="6" s="1"/>
  <c r="AE12" i="5"/>
  <c r="O12" i="6" s="1"/>
  <c r="AJ12" i="5"/>
  <c r="T12" i="6" s="1"/>
  <c r="F21" i="6"/>
  <c r="V23" i="5"/>
  <c r="Y27" i="5"/>
  <c r="I25" i="6" s="1"/>
  <c r="F26" i="6"/>
  <c r="V28" i="5"/>
  <c r="X12" i="5"/>
  <c r="H12" i="6" s="1"/>
  <c r="AD17" i="5"/>
  <c r="N17" i="6" s="1"/>
  <c r="AB17" i="5"/>
  <c r="L17" i="6" s="1"/>
  <c r="AK17" i="5"/>
  <c r="U17" i="6" s="1"/>
  <c r="AA17" i="5"/>
  <c r="K17" i="6" s="1"/>
  <c r="AH17" i="5"/>
  <c r="R17" i="6" s="1"/>
  <c r="X17" i="5"/>
  <c r="H17" i="6" s="1"/>
  <c r="AE17" i="5"/>
  <c r="O17" i="6" s="1"/>
  <c r="V24" i="5"/>
  <c r="Z27" i="5"/>
  <c r="J25" i="6" s="1"/>
  <c r="V9" i="5"/>
  <c r="F11" i="6"/>
  <c r="V11" i="5"/>
  <c r="AF6" i="5"/>
  <c r="P6" i="6" s="1"/>
  <c r="V8" i="5"/>
  <c r="Y12" i="5"/>
  <c r="I12" i="6" s="1"/>
  <c r="AF21" i="5"/>
  <c r="AD21" i="5"/>
  <c r="AC21" i="5"/>
  <c r="AJ21" i="5"/>
  <c r="Z21" i="5"/>
  <c r="AG21" i="5"/>
  <c r="AL21" i="5"/>
  <c r="AF27" i="5"/>
  <c r="P25" i="6" s="1"/>
  <c r="AJ29" i="5"/>
  <c r="T27" i="6" s="1"/>
  <c r="Z29" i="5"/>
  <c r="J27" i="6" s="1"/>
  <c r="AI29" i="5"/>
  <c r="S27" i="6" s="1"/>
  <c r="Y29" i="5"/>
  <c r="I27" i="6" s="1"/>
  <c r="AH29" i="5"/>
  <c r="R27" i="6" s="1"/>
  <c r="X29" i="5"/>
  <c r="H27" i="6" s="1"/>
  <c r="AG29" i="5"/>
  <c r="Q27" i="6" s="1"/>
  <c r="AE29" i="5"/>
  <c r="O27" i="6" s="1"/>
  <c r="AD29" i="5"/>
  <c r="N27" i="6" s="1"/>
  <c r="AK29" i="5"/>
  <c r="U27" i="6" s="1"/>
  <c r="AA29" i="5"/>
  <c r="K27" i="6" s="1"/>
  <c r="V14" i="5"/>
  <c r="AD7" i="5"/>
  <c r="N7" i="6" s="1"/>
  <c r="AB7" i="5"/>
  <c r="L7" i="6" s="1"/>
  <c r="AH7" i="5"/>
  <c r="R7" i="6" s="1"/>
  <c r="Z12" i="5"/>
  <c r="J12" i="6" s="1"/>
  <c r="AH13" i="5"/>
  <c r="R13" i="6" s="1"/>
  <c r="Y17" i="5"/>
  <c r="I17" i="6" s="1"/>
  <c r="AG27" i="5"/>
  <c r="Q25" i="6" s="1"/>
  <c r="F5" i="6"/>
  <c r="V5" i="5"/>
  <c r="AG6" i="5"/>
  <c r="Q6" i="6" s="1"/>
  <c r="V2" i="5"/>
  <c r="V3" i="5"/>
  <c r="V4" i="5"/>
  <c r="AH6" i="5"/>
  <c r="R6" i="6" s="1"/>
  <c r="AI7" i="5"/>
  <c r="S7" i="6" s="1"/>
  <c r="AC12" i="5"/>
  <c r="M12" i="6" s="1"/>
  <c r="AK13" i="5"/>
  <c r="U13" i="6" s="1"/>
  <c r="Z17" i="5"/>
  <c r="J17" i="6" s="1"/>
  <c r="F18" i="6"/>
  <c r="V18" i="5"/>
  <c r="X21" i="5"/>
  <c r="AI27" i="5"/>
  <c r="S25" i="6" s="1"/>
  <c r="AC17" i="5"/>
  <c r="M17" i="6" s="1"/>
  <c r="Y21" i="5"/>
  <c r="AJ27" i="5"/>
  <c r="T25" i="6" s="1"/>
  <c r="AD32" i="5"/>
  <c r="N30" i="6" s="1"/>
  <c r="AC32" i="5"/>
  <c r="M30" i="6" s="1"/>
  <c r="AB32" i="5"/>
  <c r="L30" i="6" s="1"/>
  <c r="AK32" i="5"/>
  <c r="U30" i="6" s="1"/>
  <c r="AA32" i="5"/>
  <c r="K30" i="6" s="1"/>
  <c r="AI32" i="5"/>
  <c r="S30" i="6" s="1"/>
  <c r="Y32" i="5"/>
  <c r="I30" i="6" s="1"/>
  <c r="AH32" i="5"/>
  <c r="R30" i="6" s="1"/>
  <c r="X32" i="5"/>
  <c r="H30" i="6" s="1"/>
  <c r="AE32" i="5"/>
  <c r="O30" i="6" s="1"/>
  <c r="F31" i="6"/>
  <c r="V33" i="5"/>
  <c r="F36" i="6"/>
  <c r="V38" i="5"/>
  <c r="X6" i="5"/>
  <c r="AI6" i="5"/>
  <c r="S6" i="6" s="1"/>
  <c r="X7" i="5"/>
  <c r="H7" i="6" s="1"/>
  <c r="AJ7" i="5"/>
  <c r="T7" i="6" s="1"/>
  <c r="Y6" i="5"/>
  <c r="I6" i="6" s="1"/>
  <c r="AJ6" i="5"/>
  <c r="T6" i="6" s="1"/>
  <c r="Y7" i="5"/>
  <c r="I7" i="6" s="1"/>
  <c r="AK7" i="5"/>
  <c r="U7" i="6" s="1"/>
  <c r="AG12" i="5"/>
  <c r="Q12" i="6" s="1"/>
  <c r="F16" i="6"/>
  <c r="V16" i="5"/>
  <c r="AF17" i="5"/>
  <c r="P17" i="6" s="1"/>
  <c r="AA21" i="5"/>
  <c r="AF29" i="5"/>
  <c r="P27" i="6" s="1"/>
  <c r="AJ34" i="5"/>
  <c r="T32" i="6" s="1"/>
  <c r="Z34" i="5"/>
  <c r="J32" i="6" s="1"/>
  <c r="AI34" i="5"/>
  <c r="S32" i="6" s="1"/>
  <c r="Y34" i="5"/>
  <c r="I32" i="6" s="1"/>
  <c r="AH34" i="5"/>
  <c r="R32" i="6" s="1"/>
  <c r="X34" i="5"/>
  <c r="H32" i="6" s="1"/>
  <c r="AG34" i="5"/>
  <c r="Q32" i="6" s="1"/>
  <c r="AE34" i="5"/>
  <c r="O32" i="6" s="1"/>
  <c r="AD34" i="5"/>
  <c r="N32" i="6" s="1"/>
  <c r="AB34" i="5"/>
  <c r="L32" i="6" s="1"/>
  <c r="AK34" i="5"/>
  <c r="U32" i="6" s="1"/>
  <c r="AA34" i="5"/>
  <c r="K32" i="6" s="1"/>
  <c r="F41" i="6"/>
  <c r="V43" i="5"/>
  <c r="AG36" i="5"/>
  <c r="Q34" i="6" s="1"/>
  <c r="AE37" i="5"/>
  <c r="O35" i="6" s="1"/>
  <c r="AA39" i="5"/>
  <c r="K37" i="6" s="1"/>
  <c r="AK39" i="5"/>
  <c r="U37" i="6" s="1"/>
  <c r="AG41" i="5"/>
  <c r="Q39" i="6" s="1"/>
  <c r="AE42" i="5"/>
  <c r="O40" i="6" s="1"/>
  <c r="AA44" i="5"/>
  <c r="K42" i="6" s="1"/>
  <c r="AK44" i="5"/>
  <c r="U42" i="6" s="1"/>
  <c r="AG46" i="5"/>
  <c r="Q44" i="6" s="1"/>
  <c r="AE47" i="5"/>
  <c r="O45" i="6" s="1"/>
  <c r="AA49" i="5"/>
  <c r="K47" i="6" s="1"/>
  <c r="AK49" i="5"/>
  <c r="U47" i="6" s="1"/>
  <c r="AH51" i="5"/>
  <c r="R49" i="6" s="1"/>
  <c r="AH52" i="5"/>
  <c r="R50" i="6" s="1"/>
  <c r="AJ53" i="5"/>
  <c r="T51" i="6" s="1"/>
  <c r="AB55" i="5"/>
  <c r="L53" i="6" s="1"/>
  <c r="AE60" i="5"/>
  <c r="O58" i="6" s="1"/>
  <c r="AD60" i="5"/>
  <c r="N58" i="6" s="1"/>
  <c r="AJ60" i="5"/>
  <c r="T58" i="6" s="1"/>
  <c r="Z60" i="5"/>
  <c r="J58" i="6" s="1"/>
  <c r="AI60" i="5"/>
  <c r="S58" i="6" s="1"/>
  <c r="AF37" i="5"/>
  <c r="P35" i="6" s="1"/>
  <c r="AB39" i="5"/>
  <c r="L37" i="6" s="1"/>
  <c r="AF42" i="5"/>
  <c r="P40" i="6" s="1"/>
  <c r="AB44" i="5"/>
  <c r="L42" i="6" s="1"/>
  <c r="AF47" i="5"/>
  <c r="P45" i="6" s="1"/>
  <c r="F57" i="6"/>
  <c r="V59" i="5"/>
  <c r="F62" i="6"/>
  <c r="V64" i="5"/>
  <c r="F64" i="6"/>
  <c r="V66" i="5"/>
  <c r="Z36" i="5"/>
  <c r="AJ36" i="5"/>
  <c r="T34" i="6" s="1"/>
  <c r="X37" i="5"/>
  <c r="H35" i="6" s="1"/>
  <c r="AH37" i="5"/>
  <c r="R35" i="6" s="1"/>
  <c r="AD39" i="5"/>
  <c r="N37" i="6" s="1"/>
  <c r="Z41" i="5"/>
  <c r="J39" i="6" s="1"/>
  <c r="AJ41" i="5"/>
  <c r="T39" i="6" s="1"/>
  <c r="X42" i="5"/>
  <c r="H40" i="6" s="1"/>
  <c r="AH42" i="5"/>
  <c r="R40" i="6" s="1"/>
  <c r="AD44" i="5"/>
  <c r="N42" i="6" s="1"/>
  <c r="Z46" i="5"/>
  <c r="J44" i="6" s="1"/>
  <c r="AJ46" i="5"/>
  <c r="T44" i="6" s="1"/>
  <c r="X47" i="5"/>
  <c r="H45" i="6" s="1"/>
  <c r="AH47" i="5"/>
  <c r="R45" i="6" s="1"/>
  <c r="V48" i="5"/>
  <c r="AD49" i="5"/>
  <c r="N47" i="6" s="1"/>
  <c r="Z51" i="5"/>
  <c r="J49" i="6" s="1"/>
  <c r="AK51" i="5"/>
  <c r="U49" i="6" s="1"/>
  <c r="AA52" i="5"/>
  <c r="K50" i="6" s="1"/>
  <c r="AA53" i="5"/>
  <c r="K51" i="6" s="1"/>
  <c r="AG55" i="5"/>
  <c r="Q53" i="6" s="1"/>
  <c r="V56" i="5"/>
  <c r="AE65" i="5"/>
  <c r="O63" i="6" s="1"/>
  <c r="AD65" i="5"/>
  <c r="N63" i="6" s="1"/>
  <c r="AB65" i="5"/>
  <c r="L63" i="6" s="1"/>
  <c r="AK65" i="5"/>
  <c r="U63" i="6" s="1"/>
  <c r="AA65" i="5"/>
  <c r="K63" i="6" s="1"/>
  <c r="AJ65" i="5"/>
  <c r="T63" i="6" s="1"/>
  <c r="Z65" i="5"/>
  <c r="J63" i="6" s="1"/>
  <c r="AI65" i="5"/>
  <c r="S63" i="6" s="1"/>
  <c r="Y65" i="5"/>
  <c r="I63" i="6" s="1"/>
  <c r="AH65" i="5"/>
  <c r="R63" i="6" s="1"/>
  <c r="X65" i="5"/>
  <c r="H63" i="6" s="1"/>
  <c r="AA36" i="5"/>
  <c r="K34" i="6" s="1"/>
  <c r="AK36" i="5"/>
  <c r="U34" i="6" s="1"/>
  <c r="Y37" i="5"/>
  <c r="I35" i="6" s="1"/>
  <c r="AI37" i="5"/>
  <c r="S35" i="6" s="1"/>
  <c r="AE39" i="5"/>
  <c r="O37" i="6" s="1"/>
  <c r="AA41" i="5"/>
  <c r="K39" i="6" s="1"/>
  <c r="AK41" i="5"/>
  <c r="U39" i="6" s="1"/>
  <c r="Y42" i="5"/>
  <c r="I40" i="6" s="1"/>
  <c r="AI42" i="5"/>
  <c r="S40" i="6" s="1"/>
  <c r="AE44" i="5"/>
  <c r="O42" i="6" s="1"/>
  <c r="AA46" i="5"/>
  <c r="K44" i="6" s="1"/>
  <c r="AK46" i="5"/>
  <c r="U44" i="6" s="1"/>
  <c r="Y47" i="5"/>
  <c r="I45" i="6" s="1"/>
  <c r="AI47" i="5"/>
  <c r="S45" i="6" s="1"/>
  <c r="AE49" i="5"/>
  <c r="O47" i="6" s="1"/>
  <c r="AA51" i="5"/>
  <c r="K49" i="6" s="1"/>
  <c r="AB52" i="5"/>
  <c r="L50" i="6" s="1"/>
  <c r="AB53" i="5"/>
  <c r="L51" i="6" s="1"/>
  <c r="V62" i="5"/>
  <c r="F60" i="6"/>
  <c r="AF39" i="5"/>
  <c r="P37" i="6" s="1"/>
  <c r="Z42" i="5"/>
  <c r="J40" i="6" s="1"/>
  <c r="AJ42" i="5"/>
  <c r="T40" i="6" s="1"/>
  <c r="AF44" i="5"/>
  <c r="P42" i="6" s="1"/>
  <c r="Z47" i="5"/>
  <c r="J45" i="6" s="1"/>
  <c r="AJ47" i="5"/>
  <c r="T45" i="6" s="1"/>
  <c r="AF49" i="5"/>
  <c r="P47" i="6" s="1"/>
  <c r="AE55" i="5"/>
  <c r="O53" i="6" s="1"/>
  <c r="AD55" i="5"/>
  <c r="N53" i="6" s="1"/>
  <c r="AJ55" i="5"/>
  <c r="T53" i="6" s="1"/>
  <c r="Z55" i="5"/>
  <c r="J53" i="6" s="1"/>
  <c r="AI55" i="5"/>
  <c r="S53" i="6" s="1"/>
  <c r="AC65" i="5"/>
  <c r="M63" i="6" s="1"/>
  <c r="AC36" i="5"/>
  <c r="M34" i="6" s="1"/>
  <c r="AA37" i="5"/>
  <c r="K35" i="6" s="1"/>
  <c r="AK37" i="5"/>
  <c r="U35" i="6" s="1"/>
  <c r="AG39" i="5"/>
  <c r="Q37" i="6" s="1"/>
  <c r="AC41" i="5"/>
  <c r="M39" i="6" s="1"/>
  <c r="AA42" i="5"/>
  <c r="K40" i="6" s="1"/>
  <c r="AK42" i="5"/>
  <c r="U40" i="6" s="1"/>
  <c r="AG44" i="5"/>
  <c r="Q42" i="6" s="1"/>
  <c r="AC46" i="5"/>
  <c r="M44" i="6" s="1"/>
  <c r="AA47" i="5"/>
  <c r="K45" i="6" s="1"/>
  <c r="AK47" i="5"/>
  <c r="U45" i="6" s="1"/>
  <c r="AG49" i="5"/>
  <c r="Q47" i="6" s="1"/>
  <c r="AD51" i="5"/>
  <c r="N49" i="6" s="1"/>
  <c r="AD52" i="5"/>
  <c r="N50" i="6" s="1"/>
  <c r="AD53" i="5"/>
  <c r="N51" i="6" s="1"/>
  <c r="AK55" i="5"/>
  <c r="U53" i="6" s="1"/>
  <c r="V58" i="5"/>
  <c r="AC60" i="5"/>
  <c r="M58" i="6" s="1"/>
  <c r="AF65" i="5"/>
  <c r="P63" i="6" s="1"/>
  <c r="B15" i="7"/>
  <c r="D15" i="7" s="1"/>
  <c r="B18" i="7"/>
  <c r="D18" i="7" s="1"/>
  <c r="B17" i="7"/>
  <c r="D17" i="7" s="1"/>
  <c r="B16" i="7"/>
  <c r="D16" i="7" s="1"/>
  <c r="V15" i="5"/>
  <c r="V20" i="5"/>
  <c r="V25" i="5"/>
  <c r="V30" i="5"/>
  <c r="V35" i="5"/>
  <c r="AD36" i="5"/>
  <c r="N34" i="6" s="1"/>
  <c r="AB37" i="5"/>
  <c r="L35" i="6" s="1"/>
  <c r="X39" i="5"/>
  <c r="H37" i="6" s="1"/>
  <c r="AH39" i="5"/>
  <c r="R37" i="6" s="1"/>
  <c r="V40" i="5"/>
  <c r="AD41" i="5"/>
  <c r="N39" i="6" s="1"/>
  <c r="AB42" i="5"/>
  <c r="L40" i="6" s="1"/>
  <c r="X44" i="5"/>
  <c r="H42" i="6" s="1"/>
  <c r="AH44" i="5"/>
  <c r="R42" i="6" s="1"/>
  <c r="V45" i="5"/>
  <c r="AD46" i="5"/>
  <c r="N44" i="6" s="1"/>
  <c r="AB47" i="5"/>
  <c r="L45" i="6" s="1"/>
  <c r="X49" i="5"/>
  <c r="AH49" i="5"/>
  <c r="R47" i="6" s="1"/>
  <c r="V50" i="5"/>
  <c r="AE51" i="5"/>
  <c r="O49" i="6" s="1"/>
  <c r="AE52" i="5"/>
  <c r="O50" i="6" s="1"/>
  <c r="AE53" i="5"/>
  <c r="O51" i="6" s="1"/>
  <c r="F52" i="6"/>
  <c r="V54" i="5"/>
  <c r="X55" i="5"/>
  <c r="H53" i="6" s="1"/>
  <c r="AL55" i="5"/>
  <c r="V53" i="6" s="1"/>
  <c r="AG65" i="5"/>
  <c r="Q63" i="6" s="1"/>
  <c r="AB68" i="5"/>
  <c r="L66" i="6" s="1"/>
  <c r="AJ68" i="5"/>
  <c r="T66" i="6" s="1"/>
  <c r="Y68" i="5"/>
  <c r="I66" i="6" s="1"/>
  <c r="AI68" i="5"/>
  <c r="S66" i="6" s="1"/>
  <c r="X68" i="5"/>
  <c r="H66" i="6" s="1"/>
  <c r="AH68" i="5"/>
  <c r="R66" i="6" s="1"/>
  <c r="AG68" i="5"/>
  <c r="Q66" i="6" s="1"/>
  <c r="AF68" i="5"/>
  <c r="P66" i="6" s="1"/>
  <c r="AE68" i="5"/>
  <c r="O66" i="6" s="1"/>
  <c r="AD68" i="5"/>
  <c r="N66" i="6" s="1"/>
  <c r="AC68" i="5"/>
  <c r="M66" i="6" s="1"/>
  <c r="AA68" i="5"/>
  <c r="K66" i="6" s="1"/>
  <c r="AK68" i="5"/>
  <c r="U66" i="6" s="1"/>
  <c r="Z68" i="5"/>
  <c r="J66" i="6" s="1"/>
  <c r="AE36" i="5"/>
  <c r="O34" i="6" s="1"/>
  <c r="AC37" i="5"/>
  <c r="M35" i="6" s="1"/>
  <c r="Y39" i="5"/>
  <c r="I37" i="6" s="1"/>
  <c r="AI39" i="5"/>
  <c r="S37" i="6" s="1"/>
  <c r="AE41" i="5"/>
  <c r="O39" i="6" s="1"/>
  <c r="AC42" i="5"/>
  <c r="M40" i="6" s="1"/>
  <c r="Y44" i="5"/>
  <c r="I42" i="6" s="1"/>
  <c r="AI44" i="5"/>
  <c r="S42" i="6" s="1"/>
  <c r="AE46" i="5"/>
  <c r="O44" i="6" s="1"/>
  <c r="AC47" i="5"/>
  <c r="M45" i="6" s="1"/>
  <c r="Y49" i="5"/>
  <c r="I47" i="6" s="1"/>
  <c r="AI49" i="5"/>
  <c r="S47" i="6" s="1"/>
  <c r="Y55" i="5"/>
  <c r="I53" i="6" s="1"/>
  <c r="AG60" i="5"/>
  <c r="Q58" i="6" s="1"/>
  <c r="V61" i="5"/>
  <c r="V26" i="5"/>
  <c r="V31" i="5"/>
  <c r="Z39" i="5"/>
  <c r="J37" i="6" s="1"/>
  <c r="Z44" i="5"/>
  <c r="J42" i="6" s="1"/>
  <c r="Z49" i="5"/>
  <c r="J47" i="6" s="1"/>
  <c r="AB51" i="5"/>
  <c r="L49" i="6" s="1"/>
  <c r="AG51" i="5"/>
  <c r="Q49" i="6" s="1"/>
  <c r="AJ52" i="5"/>
  <c r="T50" i="6" s="1"/>
  <c r="Z52" i="5"/>
  <c r="J50" i="6" s="1"/>
  <c r="AG52" i="5"/>
  <c r="Q50" i="6" s="1"/>
  <c r="AI53" i="5"/>
  <c r="S51" i="6" s="1"/>
  <c r="AH53" i="5"/>
  <c r="R51" i="6" s="1"/>
  <c r="X53" i="5"/>
  <c r="AG53" i="5"/>
  <c r="Q51" i="6" s="1"/>
  <c r="F55" i="6"/>
  <c r="V57" i="5"/>
  <c r="AH60" i="5"/>
  <c r="R58" i="6" s="1"/>
  <c r="V63" i="5"/>
  <c r="AB67" i="5"/>
  <c r="L65" i="6" s="1"/>
  <c r="F66" i="6"/>
  <c r="AE67" i="5"/>
  <c r="O65" i="6" s="1"/>
  <c r="AF67" i="5"/>
  <c r="P65" i="6" s="1"/>
  <c r="V70" i="5"/>
  <c r="AG67" i="5"/>
  <c r="Q65" i="6" s="1"/>
  <c r="X67" i="5"/>
  <c r="H65" i="6" s="1"/>
  <c r="AH67" i="5"/>
  <c r="R65" i="6" s="1"/>
  <c r="V69" i="5"/>
  <c r="Y67" i="5"/>
  <c r="I65" i="6" s="1"/>
  <c r="AI67" i="5"/>
  <c r="S65" i="6" s="1"/>
  <c r="Z67" i="5"/>
  <c r="J65" i="6" s="1"/>
  <c r="AJ67" i="5"/>
  <c r="T65" i="6" s="1"/>
  <c r="AA67" i="5"/>
  <c r="K65" i="6" s="1"/>
  <c r="AF31" i="5" l="1"/>
  <c r="P29" i="6" s="1"/>
  <c r="AE31" i="5"/>
  <c r="O29" i="6" s="1"/>
  <c r="AD31" i="5"/>
  <c r="N29" i="6" s="1"/>
  <c r="AC31" i="5"/>
  <c r="M29" i="6" s="1"/>
  <c r="AK31" i="5"/>
  <c r="U29" i="6" s="1"/>
  <c r="AA31" i="5"/>
  <c r="K29" i="6" s="1"/>
  <c r="AJ31" i="5"/>
  <c r="T29" i="6" s="1"/>
  <c r="Z31" i="5"/>
  <c r="J29" i="6" s="1"/>
  <c r="AG31" i="5"/>
  <c r="Q29" i="6" s="1"/>
  <c r="Y31" i="5"/>
  <c r="I29" i="6" s="1"/>
  <c r="X31" i="5"/>
  <c r="H29" i="6" s="1"/>
  <c r="AI31" i="5"/>
  <c r="S29" i="6" s="1"/>
  <c r="AH31" i="5"/>
  <c r="R29" i="6" s="1"/>
  <c r="AB31" i="5"/>
  <c r="L29" i="6" s="1"/>
  <c r="AH25" i="5"/>
  <c r="R23" i="6" s="1"/>
  <c r="X25" i="5"/>
  <c r="H23" i="6" s="1"/>
  <c r="AG25" i="5"/>
  <c r="Q23" i="6" s="1"/>
  <c r="AF25" i="5"/>
  <c r="P23" i="6" s="1"/>
  <c r="AE25" i="5"/>
  <c r="O23" i="6" s="1"/>
  <c r="AB25" i="5"/>
  <c r="L23" i="6" s="1"/>
  <c r="AI25" i="5"/>
  <c r="S23" i="6" s="1"/>
  <c r="Y25" i="5"/>
  <c r="I23" i="6" s="1"/>
  <c r="AC25" i="5"/>
  <c r="M23" i="6" s="1"/>
  <c r="AA25" i="5"/>
  <c r="K23" i="6" s="1"/>
  <c r="Z25" i="5"/>
  <c r="J23" i="6" s="1"/>
  <c r="AK25" i="5"/>
  <c r="U23" i="6" s="1"/>
  <c r="AJ25" i="5"/>
  <c r="T23" i="6" s="1"/>
  <c r="AD25" i="5"/>
  <c r="N23" i="6" s="1"/>
  <c r="AH20" i="5"/>
  <c r="R19" i="6" s="1"/>
  <c r="X20" i="5"/>
  <c r="H19" i="6" s="1"/>
  <c r="AF20" i="5"/>
  <c r="P19" i="6" s="1"/>
  <c r="AE20" i="5"/>
  <c r="O19" i="6" s="1"/>
  <c r="AB20" i="5"/>
  <c r="L19" i="6" s="1"/>
  <c r="AI20" i="5"/>
  <c r="S19" i="6" s="1"/>
  <c r="Y20" i="5"/>
  <c r="I19" i="6" s="1"/>
  <c r="AG20" i="5"/>
  <c r="Q19" i="6" s="1"/>
  <c r="AD20" i="5"/>
  <c r="N19" i="6" s="1"/>
  <c r="AC20" i="5"/>
  <c r="M19" i="6" s="1"/>
  <c r="AA20" i="5"/>
  <c r="K19" i="6" s="1"/>
  <c r="Z20" i="5"/>
  <c r="J19" i="6" s="1"/>
  <c r="AK20" i="5"/>
  <c r="U19" i="6" s="1"/>
  <c r="AJ20" i="5"/>
  <c r="T19" i="6" s="1"/>
  <c r="AB48" i="5"/>
  <c r="L46" i="6" s="1"/>
  <c r="AK48" i="5"/>
  <c r="U46" i="6" s="1"/>
  <c r="AA48" i="5"/>
  <c r="K46" i="6" s="1"/>
  <c r="AJ48" i="5"/>
  <c r="T46" i="6" s="1"/>
  <c r="Z48" i="5"/>
  <c r="J46" i="6" s="1"/>
  <c r="AI48" i="5"/>
  <c r="S46" i="6" s="1"/>
  <c r="Y48" i="5"/>
  <c r="I46" i="6" s="1"/>
  <c r="AH48" i="5"/>
  <c r="R46" i="6" s="1"/>
  <c r="X48" i="5"/>
  <c r="H46" i="6" s="1"/>
  <c r="AG48" i="5"/>
  <c r="Q46" i="6" s="1"/>
  <c r="AF48" i="5"/>
  <c r="P46" i="6" s="1"/>
  <c r="AE48" i="5"/>
  <c r="O46" i="6" s="1"/>
  <c r="AD48" i="5"/>
  <c r="N46" i="6" s="1"/>
  <c r="AC48" i="5"/>
  <c r="M46" i="6" s="1"/>
  <c r="AG59" i="5"/>
  <c r="Q57" i="6" s="1"/>
  <c r="AF59" i="5"/>
  <c r="P57" i="6" s="1"/>
  <c r="AB59" i="5"/>
  <c r="L57" i="6" s="1"/>
  <c r="AD59" i="5"/>
  <c r="N57" i="6" s="1"/>
  <c r="AC59" i="5"/>
  <c r="M57" i="6" s="1"/>
  <c r="AA59" i="5"/>
  <c r="K57" i="6" s="1"/>
  <c r="Z59" i="5"/>
  <c r="J57" i="6" s="1"/>
  <c r="Y59" i="5"/>
  <c r="I57" i="6" s="1"/>
  <c r="AK59" i="5"/>
  <c r="U57" i="6" s="1"/>
  <c r="X59" i="5"/>
  <c r="H57" i="6" s="1"/>
  <c r="AJ59" i="5"/>
  <c r="T57" i="6" s="1"/>
  <c r="AI59" i="5"/>
  <c r="S57" i="6" s="1"/>
  <c r="AH59" i="5"/>
  <c r="R57" i="6" s="1"/>
  <c r="AE59" i="5"/>
  <c r="O57" i="6" s="1"/>
  <c r="AB43" i="5"/>
  <c r="L41" i="6" s="1"/>
  <c r="AK43" i="5"/>
  <c r="U41" i="6" s="1"/>
  <c r="AA43" i="5"/>
  <c r="K41" i="6" s="1"/>
  <c r="AJ43" i="5"/>
  <c r="T41" i="6" s="1"/>
  <c r="Z43" i="5"/>
  <c r="J41" i="6" s="1"/>
  <c r="AI43" i="5"/>
  <c r="S41" i="6" s="1"/>
  <c r="Y43" i="5"/>
  <c r="I41" i="6" s="1"/>
  <c r="AH43" i="5"/>
  <c r="R41" i="6" s="1"/>
  <c r="X43" i="5"/>
  <c r="H41" i="6" s="1"/>
  <c r="AG43" i="5"/>
  <c r="Q41" i="6" s="1"/>
  <c r="AF43" i="5"/>
  <c r="P41" i="6" s="1"/>
  <c r="AD43" i="5"/>
  <c r="N41" i="6" s="1"/>
  <c r="AC43" i="5"/>
  <c r="M41" i="6" s="1"/>
  <c r="AE43" i="5"/>
  <c r="O41" i="6" s="1"/>
  <c r="AF5" i="5"/>
  <c r="P5" i="6" s="1"/>
  <c r="AJ5" i="5"/>
  <c r="T5" i="6" s="1"/>
  <c r="Y5" i="5"/>
  <c r="I5" i="6" s="1"/>
  <c r="AI5" i="5"/>
  <c r="S5" i="6" s="1"/>
  <c r="X5" i="5"/>
  <c r="H5" i="6" s="1"/>
  <c r="AB5" i="5"/>
  <c r="L5" i="6" s="1"/>
  <c r="AD5" i="5"/>
  <c r="N5" i="6" s="1"/>
  <c r="AH5" i="5"/>
  <c r="R5" i="6" s="1"/>
  <c r="AE5" i="5"/>
  <c r="O5" i="6" s="1"/>
  <c r="AC5" i="5"/>
  <c r="M5" i="6" s="1"/>
  <c r="AA5" i="5"/>
  <c r="K5" i="6" s="1"/>
  <c r="AK5" i="5"/>
  <c r="U5" i="6" s="1"/>
  <c r="Z5" i="5"/>
  <c r="J5" i="6" s="1"/>
  <c r="AG5" i="5"/>
  <c r="Q5" i="6" s="1"/>
  <c r="AJ14" i="5"/>
  <c r="T14" i="6" s="1"/>
  <c r="Z14" i="5"/>
  <c r="J14" i="6" s="1"/>
  <c r="AH14" i="5"/>
  <c r="R14" i="6" s="1"/>
  <c r="X14" i="5"/>
  <c r="H14" i="6" s="1"/>
  <c r="AG14" i="5"/>
  <c r="Q14" i="6" s="1"/>
  <c r="AK14" i="5"/>
  <c r="U14" i="6" s="1"/>
  <c r="AA14" i="5"/>
  <c r="K14" i="6" s="1"/>
  <c r="AE14" i="5"/>
  <c r="O14" i="6" s="1"/>
  <c r="AC14" i="5"/>
  <c r="M14" i="6" s="1"/>
  <c r="AB14" i="5"/>
  <c r="L14" i="6" s="1"/>
  <c r="Y14" i="5"/>
  <c r="I14" i="6" s="1"/>
  <c r="AL14" i="5"/>
  <c r="V14" i="6" s="1"/>
  <c r="AI14" i="5"/>
  <c r="S14" i="6" s="1"/>
  <c r="AF14" i="5"/>
  <c r="P14" i="6" s="1"/>
  <c r="AD14" i="5"/>
  <c r="N14" i="6" s="1"/>
  <c r="AB23" i="5"/>
  <c r="L21" i="6" s="1"/>
  <c r="AK23" i="5"/>
  <c r="U21" i="6" s="1"/>
  <c r="AA23" i="5"/>
  <c r="K21" i="6" s="1"/>
  <c r="AJ23" i="5"/>
  <c r="T21" i="6" s="1"/>
  <c r="Z23" i="5"/>
  <c r="J21" i="6" s="1"/>
  <c r="AI23" i="5"/>
  <c r="S21" i="6" s="1"/>
  <c r="Y23" i="5"/>
  <c r="I21" i="6" s="1"/>
  <c r="AF23" i="5"/>
  <c r="P21" i="6" s="1"/>
  <c r="AC23" i="5"/>
  <c r="M21" i="6" s="1"/>
  <c r="AH23" i="5"/>
  <c r="R21" i="6" s="1"/>
  <c r="AG23" i="5"/>
  <c r="Q21" i="6" s="1"/>
  <c r="AE23" i="5"/>
  <c r="O21" i="6" s="1"/>
  <c r="AD23" i="5"/>
  <c r="N21" i="6" s="1"/>
  <c r="X23" i="5"/>
  <c r="H21" i="6" s="1"/>
  <c r="AK57" i="5"/>
  <c r="U55" i="6" s="1"/>
  <c r="AA57" i="5"/>
  <c r="K55" i="6" s="1"/>
  <c r="AJ57" i="5"/>
  <c r="T55" i="6" s="1"/>
  <c r="Z57" i="5"/>
  <c r="J55" i="6" s="1"/>
  <c r="AF57" i="5"/>
  <c r="P55" i="6" s="1"/>
  <c r="AI57" i="5"/>
  <c r="S55" i="6" s="1"/>
  <c r="AH57" i="5"/>
  <c r="R55" i="6" s="1"/>
  <c r="AG57" i="5"/>
  <c r="Q55" i="6" s="1"/>
  <c r="AE57" i="5"/>
  <c r="O55" i="6" s="1"/>
  <c r="AD57" i="5"/>
  <c r="N55" i="6" s="1"/>
  <c r="AC57" i="5"/>
  <c r="M55" i="6" s="1"/>
  <c r="AB57" i="5"/>
  <c r="L55" i="6" s="1"/>
  <c r="Y57" i="5"/>
  <c r="I55" i="6" s="1"/>
  <c r="X57" i="5"/>
  <c r="H55" i="6" s="1"/>
  <c r="AG54" i="5"/>
  <c r="Q52" i="6" s="1"/>
  <c r="AF54" i="5"/>
  <c r="P52" i="6" s="1"/>
  <c r="AJ54" i="5"/>
  <c r="T52" i="6" s="1"/>
  <c r="X54" i="5"/>
  <c r="H52" i="6" s="1"/>
  <c r="AI54" i="5"/>
  <c r="S52" i="6" s="1"/>
  <c r="AH54" i="5"/>
  <c r="R52" i="6" s="1"/>
  <c r="AE54" i="5"/>
  <c r="O52" i="6" s="1"/>
  <c r="AD54" i="5"/>
  <c r="N52" i="6" s="1"/>
  <c r="AC54" i="5"/>
  <c r="M52" i="6" s="1"/>
  <c r="AB54" i="5"/>
  <c r="L52" i="6" s="1"/>
  <c r="AA54" i="5"/>
  <c r="K52" i="6" s="1"/>
  <c r="Z54" i="5"/>
  <c r="J52" i="6" s="1"/>
  <c r="AK54" i="5"/>
  <c r="U52" i="6" s="1"/>
  <c r="Y54" i="5"/>
  <c r="I52" i="6" s="1"/>
  <c r="AH50" i="5"/>
  <c r="R48" i="6" s="1"/>
  <c r="X50" i="5"/>
  <c r="H48" i="6" s="1"/>
  <c r="AG50" i="5"/>
  <c r="Q48" i="6" s="1"/>
  <c r="AF50" i="5"/>
  <c r="P48" i="6" s="1"/>
  <c r="AE50" i="5"/>
  <c r="O48" i="6" s="1"/>
  <c r="AD50" i="5"/>
  <c r="N48" i="6" s="1"/>
  <c r="AC50" i="5"/>
  <c r="M48" i="6" s="1"/>
  <c r="AB50" i="5"/>
  <c r="L48" i="6" s="1"/>
  <c r="AK50" i="5"/>
  <c r="U48" i="6" s="1"/>
  <c r="AA50" i="5"/>
  <c r="K48" i="6" s="1"/>
  <c r="AJ50" i="5"/>
  <c r="T48" i="6" s="1"/>
  <c r="Z50" i="5"/>
  <c r="J48" i="6" s="1"/>
  <c r="AI50" i="5"/>
  <c r="S48" i="6" s="1"/>
  <c r="Y50" i="5"/>
  <c r="I48" i="6" s="1"/>
  <c r="AL67" i="5"/>
  <c r="V65" i="6" s="1"/>
  <c r="AF26" i="5"/>
  <c r="P24" i="6" s="1"/>
  <c r="AE26" i="5"/>
  <c r="O24" i="6" s="1"/>
  <c r="AD26" i="5"/>
  <c r="N24" i="6" s="1"/>
  <c r="AC26" i="5"/>
  <c r="M24" i="6" s="1"/>
  <c r="AJ26" i="5"/>
  <c r="T24" i="6" s="1"/>
  <c r="Z26" i="5"/>
  <c r="J24" i="6" s="1"/>
  <c r="AG26" i="5"/>
  <c r="Q24" i="6" s="1"/>
  <c r="Y26" i="5"/>
  <c r="I24" i="6" s="1"/>
  <c r="X26" i="5"/>
  <c r="H24" i="6" s="1"/>
  <c r="AK26" i="5"/>
  <c r="U24" i="6" s="1"/>
  <c r="AI26" i="5"/>
  <c r="S24" i="6" s="1"/>
  <c r="AH26" i="5"/>
  <c r="R24" i="6" s="1"/>
  <c r="AB26" i="5"/>
  <c r="L24" i="6" s="1"/>
  <c r="AA26" i="5"/>
  <c r="K24" i="6" s="1"/>
  <c r="AL68" i="5"/>
  <c r="V66" i="6" s="1"/>
  <c r="AC61" i="5"/>
  <c r="M59" i="6" s="1"/>
  <c r="AB61" i="5"/>
  <c r="L59" i="6" s="1"/>
  <c r="AH61" i="5"/>
  <c r="R59" i="6" s="1"/>
  <c r="X61" i="5"/>
  <c r="H59" i="6" s="1"/>
  <c r="AK61" i="5"/>
  <c r="U59" i="6" s="1"/>
  <c r="AJ61" i="5"/>
  <c r="T59" i="6" s="1"/>
  <c r="AI61" i="5"/>
  <c r="S59" i="6" s="1"/>
  <c r="AG61" i="5"/>
  <c r="Q59" i="6" s="1"/>
  <c r="AF61" i="5"/>
  <c r="P59" i="6" s="1"/>
  <c r="AE61" i="5"/>
  <c r="O59" i="6" s="1"/>
  <c r="AD61" i="5"/>
  <c r="N59" i="6" s="1"/>
  <c r="AA61" i="5"/>
  <c r="K59" i="6" s="1"/>
  <c r="Z61" i="5"/>
  <c r="J59" i="6" s="1"/>
  <c r="Y61" i="5"/>
  <c r="I59" i="6" s="1"/>
  <c r="H47" i="6"/>
  <c r="AL49" i="5"/>
  <c r="V47" i="6" s="1"/>
  <c r="AH40" i="5"/>
  <c r="R38" i="6" s="1"/>
  <c r="X40" i="5"/>
  <c r="H38" i="6" s="1"/>
  <c r="AG40" i="5"/>
  <c r="Q38" i="6" s="1"/>
  <c r="AF40" i="5"/>
  <c r="P38" i="6" s="1"/>
  <c r="AE40" i="5"/>
  <c r="O38" i="6" s="1"/>
  <c r="AD40" i="5"/>
  <c r="N38" i="6" s="1"/>
  <c r="AC40" i="5"/>
  <c r="M38" i="6" s="1"/>
  <c r="AB40" i="5"/>
  <c r="L38" i="6" s="1"/>
  <c r="AJ40" i="5"/>
  <c r="T38" i="6" s="1"/>
  <c r="Z40" i="5"/>
  <c r="J38" i="6" s="1"/>
  <c r="AI40" i="5"/>
  <c r="S38" i="6" s="1"/>
  <c r="Y40" i="5"/>
  <c r="I38" i="6" s="1"/>
  <c r="AK40" i="5"/>
  <c r="U38" i="6" s="1"/>
  <c r="AA40" i="5"/>
  <c r="K38" i="6" s="1"/>
  <c r="AH15" i="5"/>
  <c r="R15" i="6" s="1"/>
  <c r="X15" i="5"/>
  <c r="H15" i="6" s="1"/>
  <c r="AF15" i="5"/>
  <c r="P15" i="6" s="1"/>
  <c r="AE15" i="5"/>
  <c r="O15" i="6" s="1"/>
  <c r="AB15" i="5"/>
  <c r="L15" i="6" s="1"/>
  <c r="AI15" i="5"/>
  <c r="S15" i="6" s="1"/>
  <c r="Y15" i="5"/>
  <c r="I15" i="6" s="1"/>
  <c r="Z15" i="5"/>
  <c r="J15" i="6" s="1"/>
  <c r="AG15" i="5"/>
  <c r="Q15" i="6" s="1"/>
  <c r="AK15" i="5"/>
  <c r="U15" i="6" s="1"/>
  <c r="AJ15" i="5"/>
  <c r="T15" i="6" s="1"/>
  <c r="AD15" i="5"/>
  <c r="N15" i="6" s="1"/>
  <c r="AC15" i="5"/>
  <c r="M15" i="6" s="1"/>
  <c r="AA15" i="5"/>
  <c r="K15" i="6" s="1"/>
  <c r="AK62" i="5"/>
  <c r="U60" i="6" s="1"/>
  <c r="AA62" i="5"/>
  <c r="K60" i="6" s="1"/>
  <c r="AJ62" i="5"/>
  <c r="T60" i="6" s="1"/>
  <c r="Z62" i="5"/>
  <c r="J60" i="6" s="1"/>
  <c r="AF62" i="5"/>
  <c r="P60" i="6" s="1"/>
  <c r="AD62" i="5"/>
  <c r="N60" i="6" s="1"/>
  <c r="AC62" i="5"/>
  <c r="M60" i="6" s="1"/>
  <c r="AB62" i="5"/>
  <c r="L60" i="6" s="1"/>
  <c r="Y62" i="5"/>
  <c r="I60" i="6" s="1"/>
  <c r="X62" i="5"/>
  <c r="H60" i="6" s="1"/>
  <c r="AI62" i="5"/>
  <c r="S60" i="6" s="1"/>
  <c r="AH62" i="5"/>
  <c r="R60" i="6" s="1"/>
  <c r="AG62" i="5"/>
  <c r="Q60" i="6" s="1"/>
  <c r="AE62" i="5"/>
  <c r="O60" i="6" s="1"/>
  <c r="AB33" i="5"/>
  <c r="L31" i="6" s="1"/>
  <c r="AK33" i="5"/>
  <c r="U31" i="6" s="1"/>
  <c r="AA33" i="5"/>
  <c r="K31" i="6" s="1"/>
  <c r="AJ33" i="5"/>
  <c r="T31" i="6" s="1"/>
  <c r="Z33" i="5"/>
  <c r="J31" i="6" s="1"/>
  <c r="AI33" i="5"/>
  <c r="S31" i="6" s="1"/>
  <c r="Y33" i="5"/>
  <c r="I31" i="6" s="1"/>
  <c r="AG33" i="5"/>
  <c r="Q31" i="6" s="1"/>
  <c r="AF33" i="5"/>
  <c r="P31" i="6" s="1"/>
  <c r="AC33" i="5"/>
  <c r="M31" i="6" s="1"/>
  <c r="AH33" i="5"/>
  <c r="R31" i="6" s="1"/>
  <c r="AE33" i="5"/>
  <c r="O31" i="6" s="1"/>
  <c r="AD33" i="5"/>
  <c r="N31" i="6" s="1"/>
  <c r="X33" i="5"/>
  <c r="H31" i="6" s="1"/>
  <c r="AL32" i="5"/>
  <c r="V30" i="6" s="1"/>
  <c r="AB8" i="5"/>
  <c r="L8" i="6" s="1"/>
  <c r="AJ8" i="5"/>
  <c r="T8" i="6" s="1"/>
  <c r="Z8" i="5"/>
  <c r="J8" i="6" s="1"/>
  <c r="AA8" i="5"/>
  <c r="K8" i="6" s="1"/>
  <c r="Y8" i="5"/>
  <c r="I8" i="6" s="1"/>
  <c r="AK8" i="5"/>
  <c r="U8" i="6" s="1"/>
  <c r="X8" i="5"/>
  <c r="H8" i="6" s="1"/>
  <c r="AI8" i="5"/>
  <c r="S8" i="6" s="1"/>
  <c r="AH8" i="5"/>
  <c r="R8" i="6" s="1"/>
  <c r="AG8" i="5"/>
  <c r="Q8" i="6" s="1"/>
  <c r="AF8" i="5"/>
  <c r="P8" i="6" s="1"/>
  <c r="AE8" i="5"/>
  <c r="O8" i="6" s="1"/>
  <c r="AD8" i="5"/>
  <c r="N8" i="6" s="1"/>
  <c r="AC8" i="5"/>
  <c r="M8" i="6" s="1"/>
  <c r="AI63" i="5"/>
  <c r="S61" i="6" s="1"/>
  <c r="Y63" i="5"/>
  <c r="I61" i="6" s="1"/>
  <c r="AH63" i="5"/>
  <c r="R61" i="6" s="1"/>
  <c r="X63" i="5"/>
  <c r="H61" i="6" s="1"/>
  <c r="AD63" i="5"/>
  <c r="N61" i="6" s="1"/>
  <c r="AC63" i="5"/>
  <c r="M61" i="6" s="1"/>
  <c r="AL63" i="5"/>
  <c r="V61" i="6" s="1"/>
  <c r="AB63" i="5"/>
  <c r="L61" i="6" s="1"/>
  <c r="AK63" i="5"/>
  <c r="U61" i="6" s="1"/>
  <c r="AJ63" i="5"/>
  <c r="T61" i="6" s="1"/>
  <c r="AG63" i="5"/>
  <c r="Q61" i="6" s="1"/>
  <c r="AF63" i="5"/>
  <c r="P61" i="6" s="1"/>
  <c r="AE63" i="5"/>
  <c r="O61" i="6" s="1"/>
  <c r="AA63" i="5"/>
  <c r="K61" i="6" s="1"/>
  <c r="Z63" i="5"/>
  <c r="J61" i="6" s="1"/>
  <c r="AL47" i="5"/>
  <c r="V45" i="6" s="1"/>
  <c r="AC56" i="5"/>
  <c r="M54" i="6" s="1"/>
  <c r="AB56" i="5"/>
  <c r="L54" i="6" s="1"/>
  <c r="AH56" i="5"/>
  <c r="R54" i="6" s="1"/>
  <c r="X56" i="5"/>
  <c r="H54" i="6" s="1"/>
  <c r="AE56" i="5"/>
  <c r="O54" i="6" s="1"/>
  <c r="AD56" i="5"/>
  <c r="N54" i="6" s="1"/>
  <c r="AA56" i="5"/>
  <c r="K54" i="6" s="1"/>
  <c r="Z56" i="5"/>
  <c r="J54" i="6" s="1"/>
  <c r="Y56" i="5"/>
  <c r="I54" i="6" s="1"/>
  <c r="AK56" i="5"/>
  <c r="U54" i="6" s="1"/>
  <c r="AJ56" i="5"/>
  <c r="T54" i="6" s="1"/>
  <c r="AI56" i="5"/>
  <c r="S54" i="6" s="1"/>
  <c r="AG56" i="5"/>
  <c r="Q54" i="6" s="1"/>
  <c r="AF56" i="5"/>
  <c r="P54" i="6" s="1"/>
  <c r="AL37" i="5"/>
  <c r="V35" i="6" s="1"/>
  <c r="AL46" i="5"/>
  <c r="V44" i="6" s="1"/>
  <c r="AJ70" i="5"/>
  <c r="T68" i="6" s="1"/>
  <c r="Z70" i="5"/>
  <c r="J68" i="6" s="1"/>
  <c r="AA70" i="5"/>
  <c r="K68" i="6" s="1"/>
  <c r="AD70" i="5"/>
  <c r="N68" i="6" s="1"/>
  <c r="AC70" i="5"/>
  <c r="M68" i="6" s="1"/>
  <c r="AB70" i="5"/>
  <c r="L68" i="6" s="1"/>
  <c r="Y70" i="5"/>
  <c r="I68" i="6" s="1"/>
  <c r="X70" i="5"/>
  <c r="H68" i="6" s="1"/>
  <c r="AK70" i="5"/>
  <c r="U68" i="6" s="1"/>
  <c r="AI70" i="5"/>
  <c r="S68" i="6" s="1"/>
  <c r="AH70" i="5"/>
  <c r="R68" i="6" s="1"/>
  <c r="AG70" i="5"/>
  <c r="Q68" i="6" s="1"/>
  <c r="AF70" i="5"/>
  <c r="P68" i="6" s="1"/>
  <c r="AE70" i="5"/>
  <c r="O68" i="6" s="1"/>
  <c r="AB69" i="5"/>
  <c r="L67" i="6" s="1"/>
  <c r="AK69" i="5"/>
  <c r="U67" i="6" s="1"/>
  <c r="Z69" i="5"/>
  <c r="J67" i="6" s="1"/>
  <c r="Y69" i="5"/>
  <c r="I67" i="6" s="1"/>
  <c r="AJ69" i="5"/>
  <c r="T67" i="6" s="1"/>
  <c r="X69" i="5"/>
  <c r="H67" i="6" s="1"/>
  <c r="AI69" i="5"/>
  <c r="S67" i="6" s="1"/>
  <c r="AH69" i="5"/>
  <c r="R67" i="6" s="1"/>
  <c r="AG69" i="5"/>
  <c r="Q67" i="6" s="1"/>
  <c r="AF69" i="5"/>
  <c r="P67" i="6" s="1"/>
  <c r="AE69" i="5"/>
  <c r="O67" i="6" s="1"/>
  <c r="AD69" i="5"/>
  <c r="N67" i="6" s="1"/>
  <c r="AC69" i="5"/>
  <c r="M67" i="6" s="1"/>
  <c r="AA69" i="5"/>
  <c r="K67" i="6" s="1"/>
  <c r="AL44" i="5"/>
  <c r="V42" i="6" s="1"/>
  <c r="AF11" i="5"/>
  <c r="P11" i="6" s="1"/>
  <c r="AD11" i="5"/>
  <c r="N11" i="6" s="1"/>
  <c r="AG11" i="5"/>
  <c r="Q11" i="6" s="1"/>
  <c r="AB11" i="5"/>
  <c r="L11" i="6" s="1"/>
  <c r="Z11" i="5"/>
  <c r="J11" i="6" s="1"/>
  <c r="Y11" i="5"/>
  <c r="I11" i="6" s="1"/>
  <c r="AK11" i="5"/>
  <c r="U11" i="6" s="1"/>
  <c r="X11" i="5"/>
  <c r="H11" i="6" s="1"/>
  <c r="AJ11" i="5"/>
  <c r="T11" i="6" s="1"/>
  <c r="AI11" i="5"/>
  <c r="S11" i="6" s="1"/>
  <c r="AH11" i="5"/>
  <c r="R11" i="6" s="1"/>
  <c r="AE11" i="5"/>
  <c r="O11" i="6" s="1"/>
  <c r="AC11" i="5"/>
  <c r="M11" i="6" s="1"/>
  <c r="AA11" i="5"/>
  <c r="K11" i="6" s="1"/>
  <c r="J34" i="6"/>
  <c r="AL36" i="5"/>
  <c r="V34" i="6" s="1"/>
  <c r="AL17" i="5"/>
  <c r="V17" i="6" s="1"/>
  <c r="AL22" i="5"/>
  <c r="V20" i="6" s="1"/>
  <c r="AL51" i="5"/>
  <c r="V49" i="6" s="1"/>
  <c r="AH45" i="5"/>
  <c r="R43" i="6" s="1"/>
  <c r="X45" i="5"/>
  <c r="H43" i="6" s="1"/>
  <c r="AG45" i="5"/>
  <c r="Q43" i="6" s="1"/>
  <c r="AF45" i="5"/>
  <c r="P43" i="6" s="1"/>
  <c r="AE45" i="5"/>
  <c r="O43" i="6" s="1"/>
  <c r="AD45" i="5"/>
  <c r="N43" i="6" s="1"/>
  <c r="AC45" i="5"/>
  <c r="M43" i="6" s="1"/>
  <c r="AL45" i="5"/>
  <c r="V43" i="6" s="1"/>
  <c r="AB45" i="5"/>
  <c r="L43" i="6" s="1"/>
  <c r="AJ45" i="5"/>
  <c r="T43" i="6" s="1"/>
  <c r="Z45" i="5"/>
  <c r="J43" i="6" s="1"/>
  <c r="AI45" i="5"/>
  <c r="S43" i="6" s="1"/>
  <c r="Y45" i="5"/>
  <c r="I43" i="6" s="1"/>
  <c r="AK45" i="5"/>
  <c r="U43" i="6" s="1"/>
  <c r="AA45" i="5"/>
  <c r="K43" i="6" s="1"/>
  <c r="AL52" i="5"/>
  <c r="V50" i="6" s="1"/>
  <c r="AC66" i="5"/>
  <c r="M64" i="6" s="1"/>
  <c r="AB66" i="5"/>
  <c r="L64" i="6" s="1"/>
  <c r="AK66" i="5"/>
  <c r="U64" i="6" s="1"/>
  <c r="AA66" i="5"/>
  <c r="K64" i="6" s="1"/>
  <c r="AJ66" i="5"/>
  <c r="T64" i="6" s="1"/>
  <c r="Z66" i="5"/>
  <c r="J64" i="6" s="1"/>
  <c r="AI66" i="5"/>
  <c r="S64" i="6" s="1"/>
  <c r="Y66" i="5"/>
  <c r="I64" i="6" s="1"/>
  <c r="AH66" i="5"/>
  <c r="R64" i="6" s="1"/>
  <c r="X66" i="5"/>
  <c r="H64" i="6" s="1"/>
  <c r="AG66" i="5"/>
  <c r="Q64" i="6" s="1"/>
  <c r="AF66" i="5"/>
  <c r="P64" i="6" s="1"/>
  <c r="AD66" i="5"/>
  <c r="N64" i="6" s="1"/>
  <c r="AE66" i="5"/>
  <c r="O64" i="6" s="1"/>
  <c r="AL34" i="5"/>
  <c r="V32" i="6" s="1"/>
  <c r="AJ9" i="5"/>
  <c r="T9" i="6" s="1"/>
  <c r="Z9" i="5"/>
  <c r="J9" i="6" s="1"/>
  <c r="AH9" i="5"/>
  <c r="R9" i="6" s="1"/>
  <c r="X9" i="5"/>
  <c r="H9" i="6" s="1"/>
  <c r="AK9" i="5"/>
  <c r="U9" i="6" s="1"/>
  <c r="AA9" i="5"/>
  <c r="K9" i="6" s="1"/>
  <c r="AE9" i="5"/>
  <c r="O9" i="6" s="1"/>
  <c r="AC9" i="5"/>
  <c r="M9" i="6" s="1"/>
  <c r="AB9" i="5"/>
  <c r="L9" i="6" s="1"/>
  <c r="Y9" i="5"/>
  <c r="I9" i="6" s="1"/>
  <c r="AI9" i="5"/>
  <c r="S9" i="6" s="1"/>
  <c r="AG9" i="5"/>
  <c r="Q9" i="6" s="1"/>
  <c r="AF9" i="5"/>
  <c r="P9" i="6" s="1"/>
  <c r="AD9" i="5"/>
  <c r="N9" i="6" s="1"/>
  <c r="AL27" i="5"/>
  <c r="V25" i="6" s="1"/>
  <c r="AL13" i="5"/>
  <c r="V13" i="6" s="1"/>
  <c r="AL39" i="5"/>
  <c r="V37" i="6" s="1"/>
  <c r="AH4" i="5"/>
  <c r="R4" i="6" s="1"/>
  <c r="X4" i="5"/>
  <c r="H4" i="6" s="1"/>
  <c r="AJ4" i="5"/>
  <c r="T4" i="6" s="1"/>
  <c r="Y4" i="5"/>
  <c r="AI4" i="5"/>
  <c r="S4" i="6" s="1"/>
  <c r="AF4" i="5"/>
  <c r="P4" i="6" s="1"/>
  <c r="AB4" i="5"/>
  <c r="L4" i="6" s="1"/>
  <c r="AG4" i="5"/>
  <c r="Q4" i="6" s="1"/>
  <c r="AC4" i="5"/>
  <c r="M4" i="6" s="1"/>
  <c r="AE4" i="5"/>
  <c r="O4" i="6" s="1"/>
  <c r="AD4" i="5"/>
  <c r="N4" i="6" s="1"/>
  <c r="AA4" i="5"/>
  <c r="K4" i="6" s="1"/>
  <c r="AK4" i="5"/>
  <c r="U4" i="6" s="1"/>
  <c r="Z4" i="5"/>
  <c r="J4" i="6" s="1"/>
  <c r="H51" i="6"/>
  <c r="AL53" i="5"/>
  <c r="V51" i="6" s="1"/>
  <c r="AH35" i="5"/>
  <c r="R33" i="6" s="1"/>
  <c r="X35" i="5"/>
  <c r="H33" i="6" s="1"/>
  <c r="AG35" i="5"/>
  <c r="Q33" i="6" s="1"/>
  <c r="AF35" i="5"/>
  <c r="P33" i="6" s="1"/>
  <c r="AE35" i="5"/>
  <c r="O33" i="6" s="1"/>
  <c r="AC35" i="5"/>
  <c r="M33" i="6" s="1"/>
  <c r="AB35" i="5"/>
  <c r="L33" i="6" s="1"/>
  <c r="AJ35" i="5"/>
  <c r="T33" i="6" s="1"/>
  <c r="Z35" i="5"/>
  <c r="J33" i="6" s="1"/>
  <c r="AI35" i="5"/>
  <c r="S33" i="6" s="1"/>
  <c r="Y35" i="5"/>
  <c r="I33" i="6" s="1"/>
  <c r="AA35" i="5"/>
  <c r="K33" i="6" s="1"/>
  <c r="AK35" i="5"/>
  <c r="U33" i="6" s="1"/>
  <c r="AD35" i="5"/>
  <c r="N33" i="6" s="1"/>
  <c r="AG64" i="5"/>
  <c r="Q62" i="6" s="1"/>
  <c r="AF64" i="5"/>
  <c r="P62" i="6" s="1"/>
  <c r="AD64" i="5"/>
  <c r="N62" i="6" s="1"/>
  <c r="AC64" i="5"/>
  <c r="M62" i="6" s="1"/>
  <c r="AB64" i="5"/>
  <c r="L62" i="6" s="1"/>
  <c r="AK64" i="5"/>
  <c r="U62" i="6" s="1"/>
  <c r="AA64" i="5"/>
  <c r="K62" i="6" s="1"/>
  <c r="AJ64" i="5"/>
  <c r="T62" i="6" s="1"/>
  <c r="Z64" i="5"/>
  <c r="J62" i="6" s="1"/>
  <c r="AI64" i="5"/>
  <c r="S62" i="6" s="1"/>
  <c r="AH64" i="5"/>
  <c r="R62" i="6" s="1"/>
  <c r="AE64" i="5"/>
  <c r="O62" i="6" s="1"/>
  <c r="Y64" i="5"/>
  <c r="I62" i="6" s="1"/>
  <c r="X64" i="5"/>
  <c r="H62" i="6" s="1"/>
  <c r="AJ3" i="5"/>
  <c r="T3" i="6" s="1"/>
  <c r="Z3" i="5"/>
  <c r="J3" i="6" s="1"/>
  <c r="AI3" i="5"/>
  <c r="S3" i="6" s="1"/>
  <c r="X3" i="5"/>
  <c r="H3" i="6" s="1"/>
  <c r="AH3" i="5"/>
  <c r="R3" i="6" s="1"/>
  <c r="AB3" i="5"/>
  <c r="L3" i="6" s="1"/>
  <c r="AG3" i="5"/>
  <c r="Q3" i="6" s="1"/>
  <c r="AF3" i="5"/>
  <c r="P3" i="6" s="1"/>
  <c r="AD3" i="5"/>
  <c r="N3" i="6" s="1"/>
  <c r="AE3" i="5"/>
  <c r="O3" i="6" s="1"/>
  <c r="AL3" i="5"/>
  <c r="V3" i="6" s="1"/>
  <c r="AA3" i="5"/>
  <c r="K3" i="6" s="1"/>
  <c r="AK3" i="5"/>
  <c r="U3" i="6" s="1"/>
  <c r="Y3" i="5"/>
  <c r="I3" i="6" s="1"/>
  <c r="AC3" i="5"/>
  <c r="M3" i="6" s="1"/>
  <c r="AJ24" i="5"/>
  <c r="T22" i="6" s="1"/>
  <c r="Z24" i="5"/>
  <c r="J22" i="6" s="1"/>
  <c r="AI24" i="5"/>
  <c r="S22" i="6" s="1"/>
  <c r="Y24" i="5"/>
  <c r="I22" i="6" s="1"/>
  <c r="AH24" i="5"/>
  <c r="R22" i="6" s="1"/>
  <c r="X24" i="5"/>
  <c r="H22" i="6" s="1"/>
  <c r="AG24" i="5"/>
  <c r="Q22" i="6" s="1"/>
  <c r="AD24" i="5"/>
  <c r="N22" i="6" s="1"/>
  <c r="AK24" i="5"/>
  <c r="U22" i="6" s="1"/>
  <c r="AA24" i="5"/>
  <c r="K22" i="6" s="1"/>
  <c r="AF24" i="5"/>
  <c r="P22" i="6" s="1"/>
  <c r="AE24" i="5"/>
  <c r="O22" i="6" s="1"/>
  <c r="AC24" i="5"/>
  <c r="M22" i="6" s="1"/>
  <c r="AB24" i="5"/>
  <c r="L22" i="6" s="1"/>
  <c r="AB28" i="5"/>
  <c r="L26" i="6" s="1"/>
  <c r="AK28" i="5"/>
  <c r="U26" i="6" s="1"/>
  <c r="AA28" i="5"/>
  <c r="K26" i="6" s="1"/>
  <c r="AJ28" i="5"/>
  <c r="T26" i="6" s="1"/>
  <c r="Z28" i="5"/>
  <c r="J26" i="6" s="1"/>
  <c r="AI28" i="5"/>
  <c r="S26" i="6" s="1"/>
  <c r="Y28" i="5"/>
  <c r="I26" i="6" s="1"/>
  <c r="AF28" i="5"/>
  <c r="P26" i="6" s="1"/>
  <c r="AC28" i="5"/>
  <c r="M26" i="6" s="1"/>
  <c r="AH28" i="5"/>
  <c r="R26" i="6" s="1"/>
  <c r="AG28" i="5"/>
  <c r="Q26" i="6" s="1"/>
  <c r="AE28" i="5"/>
  <c r="O26" i="6" s="1"/>
  <c r="AD28" i="5"/>
  <c r="N26" i="6" s="1"/>
  <c r="X28" i="5"/>
  <c r="H26" i="6" s="1"/>
  <c r="AL12" i="5"/>
  <c r="V12" i="6" s="1"/>
  <c r="AH10" i="5"/>
  <c r="R10" i="6" s="1"/>
  <c r="X10" i="5"/>
  <c r="H10" i="6" s="1"/>
  <c r="AF10" i="5"/>
  <c r="P10" i="6" s="1"/>
  <c r="AI10" i="5"/>
  <c r="S10" i="6" s="1"/>
  <c r="Y10" i="5"/>
  <c r="I10" i="6" s="1"/>
  <c r="AJ10" i="5"/>
  <c r="T10" i="6" s="1"/>
  <c r="AG10" i="5"/>
  <c r="Q10" i="6" s="1"/>
  <c r="AE10" i="5"/>
  <c r="O10" i="6" s="1"/>
  <c r="AC10" i="5"/>
  <c r="M10" i="6" s="1"/>
  <c r="AD10" i="5"/>
  <c r="N10" i="6" s="1"/>
  <c r="AB10" i="5"/>
  <c r="L10" i="6" s="1"/>
  <c r="AA10" i="5"/>
  <c r="K10" i="6" s="1"/>
  <c r="Z10" i="5"/>
  <c r="J10" i="6" s="1"/>
  <c r="AK10" i="5"/>
  <c r="U10" i="6" s="1"/>
  <c r="AL42" i="5"/>
  <c r="V40" i="6" s="1"/>
  <c r="AH30" i="5"/>
  <c r="R28" i="6" s="1"/>
  <c r="X30" i="5"/>
  <c r="H28" i="6" s="1"/>
  <c r="AG30" i="5"/>
  <c r="Q28" i="6" s="1"/>
  <c r="AF30" i="5"/>
  <c r="P28" i="6" s="1"/>
  <c r="AE30" i="5"/>
  <c r="O28" i="6" s="1"/>
  <c r="AC30" i="5"/>
  <c r="M28" i="6" s="1"/>
  <c r="AB30" i="5"/>
  <c r="L28" i="6" s="1"/>
  <c r="AI30" i="5"/>
  <c r="S28" i="6" s="1"/>
  <c r="Y30" i="5"/>
  <c r="I28" i="6" s="1"/>
  <c r="AD30" i="5"/>
  <c r="N28" i="6" s="1"/>
  <c r="AA30" i="5"/>
  <c r="K28" i="6" s="1"/>
  <c r="Z30" i="5"/>
  <c r="J28" i="6" s="1"/>
  <c r="AK30" i="5"/>
  <c r="U28" i="6" s="1"/>
  <c r="AJ30" i="5"/>
  <c r="T28" i="6" s="1"/>
  <c r="AI58" i="5"/>
  <c r="S56" i="6" s="1"/>
  <c r="Y58" i="5"/>
  <c r="I56" i="6" s="1"/>
  <c r="AH58" i="5"/>
  <c r="R56" i="6" s="1"/>
  <c r="X58" i="5"/>
  <c r="H56" i="6" s="1"/>
  <c r="AD58" i="5"/>
  <c r="N56" i="6" s="1"/>
  <c r="AA58" i="5"/>
  <c r="K56" i="6" s="1"/>
  <c r="Z58" i="5"/>
  <c r="J56" i="6" s="1"/>
  <c r="AK58" i="5"/>
  <c r="U56" i="6" s="1"/>
  <c r="AJ58" i="5"/>
  <c r="T56" i="6" s="1"/>
  <c r="AG58" i="5"/>
  <c r="Q56" i="6" s="1"/>
  <c r="AF58" i="5"/>
  <c r="P56" i="6" s="1"/>
  <c r="AE58" i="5"/>
  <c r="O56" i="6" s="1"/>
  <c r="AC58" i="5"/>
  <c r="M56" i="6" s="1"/>
  <c r="AB58" i="5"/>
  <c r="L56" i="6" s="1"/>
  <c r="AL41" i="5"/>
  <c r="V39" i="6" s="1"/>
  <c r="AF16" i="5"/>
  <c r="P16" i="6" s="1"/>
  <c r="AD16" i="5"/>
  <c r="N16" i="6" s="1"/>
  <c r="AC16" i="5"/>
  <c r="M16" i="6" s="1"/>
  <c r="AJ16" i="5"/>
  <c r="T16" i="6" s="1"/>
  <c r="Z16" i="5"/>
  <c r="J16" i="6" s="1"/>
  <c r="AG16" i="5"/>
  <c r="Q16" i="6" s="1"/>
  <c r="AK16" i="5"/>
  <c r="U16" i="6" s="1"/>
  <c r="AI16" i="5"/>
  <c r="S16" i="6" s="1"/>
  <c r="AH16" i="5"/>
  <c r="R16" i="6" s="1"/>
  <c r="AE16" i="5"/>
  <c r="O16" i="6" s="1"/>
  <c r="AA16" i="5"/>
  <c r="K16" i="6" s="1"/>
  <c r="AB16" i="5"/>
  <c r="L16" i="6" s="1"/>
  <c r="Y16" i="5"/>
  <c r="I16" i="6" s="1"/>
  <c r="X16" i="5"/>
  <c r="H16" i="6" s="1"/>
  <c r="H6" i="6"/>
  <c r="AL6" i="5"/>
  <c r="V6" i="6" s="1"/>
  <c r="B12" i="7"/>
  <c r="D12" i="7" s="1"/>
  <c r="B13" i="7"/>
  <c r="D13" i="7" s="1"/>
  <c r="AB2" i="5"/>
  <c r="L2" i="6" s="1"/>
  <c r="AI2" i="5"/>
  <c r="S2" i="6" s="1"/>
  <c r="X2" i="5"/>
  <c r="H2" i="6" s="1"/>
  <c r="AA2" i="5"/>
  <c r="K2" i="6" s="1"/>
  <c r="AH2" i="5"/>
  <c r="R2" i="6" s="1"/>
  <c r="AF2" i="5"/>
  <c r="P2" i="6" s="1"/>
  <c r="AG2" i="5"/>
  <c r="Q2" i="6" s="1"/>
  <c r="AE2" i="5"/>
  <c r="O2" i="6" s="1"/>
  <c r="AD2" i="5"/>
  <c r="N2" i="6" s="1"/>
  <c r="AK2" i="5"/>
  <c r="U2" i="6" s="1"/>
  <c r="Z2" i="5"/>
  <c r="J2" i="6" s="1"/>
  <c r="AJ2" i="5"/>
  <c r="T2" i="6" s="1"/>
  <c r="Y2" i="5"/>
  <c r="I2" i="6" s="1"/>
  <c r="AC2" i="5"/>
  <c r="M2" i="6" s="1"/>
  <c r="AL7" i="5"/>
  <c r="V7" i="6" s="1"/>
  <c r="AL65" i="5"/>
  <c r="V63" i="6" s="1"/>
  <c r="AL60" i="5"/>
  <c r="V58" i="6" s="1"/>
  <c r="AB38" i="5"/>
  <c r="L36" i="6" s="1"/>
  <c r="AK38" i="5"/>
  <c r="U36" i="6" s="1"/>
  <c r="AA38" i="5"/>
  <c r="K36" i="6" s="1"/>
  <c r="AJ38" i="5"/>
  <c r="T36" i="6" s="1"/>
  <c r="Z38" i="5"/>
  <c r="J36" i="6" s="1"/>
  <c r="AI38" i="5"/>
  <c r="S36" i="6" s="1"/>
  <c r="Y38" i="5"/>
  <c r="I36" i="6" s="1"/>
  <c r="AH38" i="5"/>
  <c r="R36" i="6" s="1"/>
  <c r="X38" i="5"/>
  <c r="H36" i="6" s="1"/>
  <c r="AG38" i="5"/>
  <c r="Q36" i="6" s="1"/>
  <c r="AF38" i="5"/>
  <c r="P36" i="6" s="1"/>
  <c r="AD38" i="5"/>
  <c r="N36" i="6" s="1"/>
  <c r="AC38" i="5"/>
  <c r="M36" i="6" s="1"/>
  <c r="AE38" i="5"/>
  <c r="O36" i="6" s="1"/>
  <c r="AB18" i="5"/>
  <c r="L18" i="6" s="1"/>
  <c r="AJ18" i="5"/>
  <c r="T18" i="6" s="1"/>
  <c r="Z18" i="5"/>
  <c r="J18" i="6" s="1"/>
  <c r="AI18" i="5"/>
  <c r="S18" i="6" s="1"/>
  <c r="Y18" i="5"/>
  <c r="I18" i="6" s="1"/>
  <c r="AF18" i="5"/>
  <c r="P18" i="6" s="1"/>
  <c r="AC18" i="5"/>
  <c r="M18" i="6" s="1"/>
  <c r="X18" i="5"/>
  <c r="H18" i="6" s="1"/>
  <c r="AK18" i="5"/>
  <c r="U18" i="6" s="1"/>
  <c r="AH18" i="5"/>
  <c r="R18" i="6" s="1"/>
  <c r="AG18" i="5"/>
  <c r="Q18" i="6" s="1"/>
  <c r="AE18" i="5"/>
  <c r="O18" i="6" s="1"/>
  <c r="AD18" i="5"/>
  <c r="N18" i="6" s="1"/>
  <c r="AA18" i="5"/>
  <c r="K18" i="6" s="1"/>
  <c r="AL29" i="5"/>
  <c r="V27" i="6" s="1"/>
  <c r="AL66" i="5" l="1"/>
  <c r="V64" i="6" s="1"/>
  <c r="AL24" i="5"/>
  <c r="V22" i="6" s="1"/>
  <c r="AL30" i="5"/>
  <c r="V28" i="6" s="1"/>
  <c r="AL11" i="5"/>
  <c r="V11" i="6" s="1"/>
  <c r="AL33" i="5"/>
  <c r="V31" i="6" s="1"/>
  <c r="AL57" i="5"/>
  <c r="V55" i="6" s="1"/>
  <c r="AL69" i="5"/>
  <c r="V67" i="6" s="1"/>
  <c r="AL61" i="5"/>
  <c r="V59" i="6" s="1"/>
  <c r="AL35" i="5"/>
  <c r="V33" i="6" s="1"/>
  <c r="AL56" i="5"/>
  <c r="V54" i="6" s="1"/>
  <c r="AL58" i="5"/>
  <c r="V56" i="6" s="1"/>
  <c r="AL4" i="5"/>
  <c r="V4" i="6" s="1"/>
  <c r="AL70" i="5"/>
  <c r="V68" i="6" s="1"/>
  <c r="AL8" i="5"/>
  <c r="V8" i="6" s="1"/>
  <c r="AL43" i="5"/>
  <c r="V41" i="6" s="1"/>
  <c r="AL48" i="5"/>
  <c r="V46" i="6" s="1"/>
  <c r="AL18" i="5"/>
  <c r="V18" i="6" s="1"/>
  <c r="AL9" i="5"/>
  <c r="V9" i="6" s="1"/>
  <c r="AL62" i="5"/>
  <c r="V60" i="6" s="1"/>
  <c r="AL20" i="5"/>
  <c r="V19" i="6" s="1"/>
  <c r="AL2" i="5"/>
  <c r="V2" i="6" s="1"/>
  <c r="AL15" i="5"/>
  <c r="V15" i="6" s="1"/>
  <c r="AL10" i="5"/>
  <c r="V10" i="6" s="1"/>
  <c r="AL50" i="5"/>
  <c r="V48" i="6" s="1"/>
  <c r="AL54" i="5"/>
  <c r="V52" i="6" s="1"/>
  <c r="AL59" i="5"/>
  <c r="V57" i="6" s="1"/>
  <c r="AL28" i="5"/>
  <c r="V26" i="6" s="1"/>
  <c r="AL40" i="5"/>
  <c r="V38" i="6" s="1"/>
  <c r="AL31" i="5"/>
  <c r="V29" i="6" s="1"/>
  <c r="AL38" i="5"/>
  <c r="V36" i="6" s="1"/>
  <c r="AL16" i="5"/>
  <c r="V16" i="6" s="1"/>
  <c r="AL64" i="5"/>
  <c r="V62" i="6" s="1"/>
  <c r="AL26" i="5"/>
  <c r="V24" i="6" s="1"/>
  <c r="AL23" i="5"/>
  <c r="V21" i="6" s="1"/>
  <c r="AL5" i="5"/>
  <c r="V5" i="6" s="1"/>
  <c r="AL25" i="5"/>
  <c r="V23" i="6" s="1"/>
  <c r="B19" i="7" l="1"/>
  <c r="D19" i="7" s="1"/>
</calcChain>
</file>

<file path=xl/sharedStrings.xml><?xml version="1.0" encoding="utf-8"?>
<sst xmlns="http://schemas.openxmlformats.org/spreadsheetml/2006/main" count="1061" uniqueCount="208">
  <si>
    <t>文物编号</t>
  </si>
  <si>
    <t>纹饰</t>
  </si>
  <si>
    <t>类型</t>
  </si>
  <si>
    <t>颜色</t>
  </si>
  <si>
    <t>表面风化</t>
  </si>
  <si>
    <t>01</t>
  </si>
  <si>
    <t>C</t>
  </si>
  <si>
    <t>高钾</t>
  </si>
  <si>
    <t>蓝绿</t>
  </si>
  <si>
    <t>无风化</t>
  </si>
  <si>
    <t>02</t>
  </si>
  <si>
    <t>A</t>
  </si>
  <si>
    <t>铅钡</t>
  </si>
  <si>
    <t>浅蓝</t>
  </si>
  <si>
    <t>风化</t>
  </si>
  <si>
    <t>03</t>
  </si>
  <si>
    <t>04</t>
  </si>
  <si>
    <t>05</t>
  </si>
  <si>
    <t>06</t>
  </si>
  <si>
    <t>07</t>
  </si>
  <si>
    <t>B</t>
  </si>
  <si>
    <t>08</t>
  </si>
  <si>
    <t>紫</t>
  </si>
  <si>
    <t>09</t>
  </si>
  <si>
    <t>10</t>
  </si>
  <si>
    <t>11</t>
  </si>
  <si>
    <t>12</t>
  </si>
  <si>
    <t>13</t>
  </si>
  <si>
    <t>14</t>
  </si>
  <si>
    <t>深绿</t>
  </si>
  <si>
    <t>15</t>
  </si>
  <si>
    <t>16</t>
  </si>
  <si>
    <t>17</t>
  </si>
  <si>
    <t>18</t>
  </si>
  <si>
    <t>深蓝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</si>
  <si>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</si>
  <si>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</si>
  <si>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</si>
  <si>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</si>
  <si>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</si>
  <si>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</si>
  <si>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</si>
  <si>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</si>
  <si>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</si>
  <si>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</si>
  <si>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</si>
  <si>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</si>
  <si>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</si>
  <si>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</si>
  <si>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浅绿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</si>
  <si>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</si>
  <si>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</si>
  <si>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</si>
  <si>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</si>
  <si>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</si>
  <si>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</si>
  <si>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</si>
  <si>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</si>
  <si>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</si>
  <si>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</si>
  <si>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</si>
  <si>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</si>
  <si>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</si>
  <si>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</si>
  <si>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</si>
  <si>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</si>
  <si>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</si>
  <si>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黑</t>
  </si>
  <si>
    <t>50</t>
  </si>
  <si>
    <t>51</t>
  </si>
  <si>
    <t>52</t>
  </si>
  <si>
    <t>53</t>
  </si>
  <si>
    <t>54</t>
  </si>
  <si>
    <t>55</t>
  </si>
  <si>
    <t>绿</t>
  </si>
  <si>
    <t>56</t>
  </si>
  <si>
    <t>57</t>
  </si>
  <si>
    <t>58</t>
  </si>
  <si>
    <t>文物采样点</t>
  </si>
  <si>
    <r>
      <rPr>
        <b/>
        <sz val="10"/>
        <color rgb="FFC00000"/>
        <rFont val="宋体"/>
        <family val="3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</si>
  <si>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family val="3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</si>
  <si>
    <r>
      <rPr>
        <b/>
        <sz val="10"/>
        <color rgb="FFC00000"/>
        <rFont val="宋体"/>
        <family val="3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</si>
  <si>
    <r>
      <rPr>
        <b/>
        <sz val="10"/>
        <color rgb="FFC00000"/>
        <rFont val="宋体"/>
        <family val="3"/>
      </rPr>
      <t>氧化钙</t>
    </r>
    <r>
      <rPr>
        <b/>
        <sz val="10"/>
        <color rgb="FFC00000"/>
        <rFont val="Times New Roman"/>
        <family val="1"/>
      </rPr>
      <t>(CaO)</t>
    </r>
  </si>
  <si>
    <r>
      <rPr>
        <b/>
        <sz val="10"/>
        <color rgb="FFC00000"/>
        <rFont val="宋体"/>
        <family val="3"/>
      </rPr>
      <t>氧化镁</t>
    </r>
    <r>
      <rPr>
        <b/>
        <sz val="10"/>
        <color rgb="FFC00000"/>
        <rFont val="Times New Roman"/>
        <family val="1"/>
      </rPr>
      <t>(MgO)</t>
    </r>
  </si>
  <si>
    <r>
      <rPr>
        <b/>
        <sz val="10"/>
        <color rgb="FFC00000"/>
        <rFont val="宋体"/>
        <family val="3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</si>
  <si>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family val="3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</si>
  <si>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family val="3"/>
      </rPr>
      <t>氧化铜</t>
    </r>
    <r>
      <rPr>
        <b/>
        <sz val="10"/>
        <color rgb="FFC00000"/>
        <rFont val="Times New Roman"/>
        <family val="1"/>
      </rPr>
      <t>(CuO)</t>
    </r>
  </si>
  <si>
    <r>
      <rPr>
        <b/>
        <sz val="10"/>
        <color rgb="FFC00000"/>
        <rFont val="宋体"/>
        <family val="3"/>
      </rPr>
      <t>氧化铅</t>
    </r>
    <r>
      <rPr>
        <b/>
        <sz val="10"/>
        <color rgb="FFC00000"/>
        <rFont val="Times New Roman"/>
        <family val="1"/>
      </rPr>
      <t>(PbO)</t>
    </r>
  </si>
  <si>
    <r>
      <rPr>
        <b/>
        <sz val="10"/>
        <color rgb="FFC00000"/>
        <rFont val="宋体"/>
        <family val="3"/>
      </rPr>
      <t>氧化钡</t>
    </r>
    <r>
      <rPr>
        <b/>
        <sz val="10"/>
        <color rgb="FFC00000"/>
        <rFont val="Times New Roman"/>
        <family val="1"/>
      </rPr>
      <t>(BaO)</t>
    </r>
  </si>
  <si>
    <r>
      <rPr>
        <b/>
        <sz val="10"/>
        <color rgb="FFC00000"/>
        <rFont val="宋体"/>
        <family val="3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</si>
  <si>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family val="3"/>
      </rPr>
      <t>氧化锶</t>
    </r>
    <r>
      <rPr>
        <b/>
        <sz val="10"/>
        <color rgb="FFC00000"/>
        <rFont val="Times New Roman"/>
        <family val="1"/>
      </rPr>
      <t>(SrO)</t>
    </r>
  </si>
  <si>
    <r>
      <rPr>
        <b/>
        <sz val="10"/>
        <color rgb="FFC00000"/>
        <rFont val="宋体"/>
        <family val="3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</si>
  <si>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family val="3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</si>
  <si>
    <t>03部位1</t>
  </si>
  <si>
    <t>03部位2</t>
  </si>
  <si>
    <t>06部位1</t>
  </si>
  <si>
    <t>06部位2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</si>
  <si>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</si>
  <si>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</si>
  <si>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</si>
  <si>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</si>
  <si>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</si>
  <si>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</si>
  <si>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</si>
  <si>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</si>
  <si>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</si>
  <si>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</si>
  <si>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</si>
  <si>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</si>
  <si>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</si>
  <si>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</si>
  <si>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</si>
  <si>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</si>
  <si>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</si>
  <si>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</si>
  <si>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</si>
  <si>
    <r>
      <rPr>
        <b/>
        <sz val="11"/>
        <color rgb="FFC00000"/>
        <rFont val="宋体"/>
        <family val="3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</si>
  <si>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family val="3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</si>
  <si>
    <r>
      <rPr>
        <b/>
        <sz val="11"/>
        <color rgb="FFC00000"/>
        <rFont val="宋体"/>
        <family val="3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</si>
  <si>
    <r>
      <rPr>
        <b/>
        <sz val="11"/>
        <color rgb="FFC00000"/>
        <rFont val="宋体"/>
        <family val="3"/>
      </rPr>
      <t>氧化钙</t>
    </r>
    <r>
      <rPr>
        <b/>
        <sz val="11"/>
        <color rgb="FFC00000"/>
        <rFont val="Times New Roman"/>
        <family val="1"/>
      </rPr>
      <t>(CaO)</t>
    </r>
  </si>
  <si>
    <r>
      <rPr>
        <b/>
        <sz val="11"/>
        <color rgb="FFC00000"/>
        <rFont val="宋体"/>
        <family val="3"/>
      </rPr>
      <t>氧化镁</t>
    </r>
    <r>
      <rPr>
        <b/>
        <sz val="11"/>
        <color rgb="FFC00000"/>
        <rFont val="Times New Roman"/>
        <family val="1"/>
      </rPr>
      <t>(MgO)</t>
    </r>
  </si>
  <si>
    <r>
      <rPr>
        <b/>
        <sz val="11"/>
        <color rgb="FFC00000"/>
        <rFont val="宋体"/>
        <family val="3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</si>
  <si>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family val="3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</si>
  <si>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family val="3"/>
      </rPr>
      <t>氧化铜</t>
    </r>
    <r>
      <rPr>
        <b/>
        <sz val="11"/>
        <color rgb="FFC00000"/>
        <rFont val="Times New Roman"/>
        <family val="1"/>
      </rPr>
      <t>(CuO)</t>
    </r>
  </si>
  <si>
    <r>
      <rPr>
        <b/>
        <sz val="11"/>
        <color rgb="FFC00000"/>
        <rFont val="宋体"/>
        <family val="3"/>
      </rPr>
      <t>氧化铅</t>
    </r>
    <r>
      <rPr>
        <b/>
        <sz val="11"/>
        <color rgb="FFC00000"/>
        <rFont val="Times New Roman"/>
        <family val="1"/>
      </rPr>
      <t>(PbO)</t>
    </r>
  </si>
  <si>
    <r>
      <rPr>
        <b/>
        <sz val="11"/>
        <color rgb="FFC00000"/>
        <rFont val="宋体"/>
        <family val="3"/>
      </rPr>
      <t>氧化钡</t>
    </r>
    <r>
      <rPr>
        <b/>
        <sz val="11"/>
        <color rgb="FFC00000"/>
        <rFont val="Times New Roman"/>
        <family val="1"/>
      </rPr>
      <t>(BaO)</t>
    </r>
  </si>
  <si>
    <r>
      <rPr>
        <b/>
        <sz val="11"/>
        <color rgb="FFC00000"/>
        <rFont val="宋体"/>
        <family val="3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</si>
  <si>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family val="3"/>
      </rPr>
      <t>氧化锶</t>
    </r>
    <r>
      <rPr>
        <b/>
        <sz val="11"/>
        <color rgb="FFC00000"/>
        <rFont val="Times New Roman"/>
        <family val="1"/>
      </rPr>
      <t>(SrO)</t>
    </r>
  </si>
  <si>
    <r>
      <rPr>
        <b/>
        <sz val="11"/>
        <color rgb="FFC00000"/>
        <rFont val="宋体"/>
        <family val="3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</si>
  <si>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family val="3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</si>
  <si>
    <t>A1</t>
  </si>
  <si>
    <t>A2</t>
  </si>
  <si>
    <t>A3</t>
  </si>
  <si>
    <t>A4</t>
  </si>
  <si>
    <t>A5</t>
  </si>
  <si>
    <t>A6</t>
  </si>
  <si>
    <t>A7</t>
  </si>
  <si>
    <t>A8</t>
  </si>
  <si>
    <t>清洗颜色</t>
  </si>
  <si>
    <t>风化编码</t>
  </si>
  <si>
    <t>颜色缺失</t>
  </si>
  <si>
    <t>数据检查</t>
  </si>
  <si>
    <t>二氧化硅(SiO2)</t>
  </si>
  <si>
    <t>氧化钠(Na2O)</t>
  </si>
  <si>
    <t>氧化钾(K2O)</t>
  </si>
  <si>
    <t>氧化钙(CaO)</t>
  </si>
  <si>
    <t>氧化镁(MgO)</t>
  </si>
  <si>
    <t>氧化铝(Al2O3)</t>
  </si>
  <si>
    <t>氧化铁(Fe2O3)</t>
  </si>
  <si>
    <t>氧化铜(CuO)</t>
  </si>
  <si>
    <t>氧化铅(PbO)</t>
  </si>
  <si>
    <t>氧化钡(BaO)</t>
  </si>
  <si>
    <t>五氧化二磷(P2O5)</t>
  </si>
  <si>
    <t>氧化锶(SrO)</t>
  </si>
  <si>
    <t>氧化锡(SnO2)</t>
  </si>
  <si>
    <t>二氧化硫(SO2)</t>
  </si>
  <si>
    <t>采样点类型</t>
  </si>
  <si>
    <t>玻璃类型</t>
  </si>
  <si>
    <t>文物整体风化</t>
  </si>
  <si>
    <t>采样点实际风化</t>
  </si>
  <si>
    <t>原始成分总和</t>
  </si>
  <si>
    <t>数据有效性</t>
  </si>
  <si>
    <t>未检出成分数</t>
  </si>
  <si>
    <t>二氧化硅(SiO2)_归一化</t>
  </si>
  <si>
    <t>氧化钠(Na2O)_归一化</t>
  </si>
  <si>
    <t>氧化钾(K2O)_归一化</t>
  </si>
  <si>
    <t>氧化钙(CaO)_归一化</t>
  </si>
  <si>
    <t>氧化镁(MgO)_归一化</t>
  </si>
  <si>
    <t>氧化铝(Al2O3)_归一化</t>
  </si>
  <si>
    <t>氧化铁(Fe2O3)_归一化</t>
  </si>
  <si>
    <t>氧化铜(CuO)_归一化</t>
  </si>
  <si>
    <t>氧化铅(PbO)_归一化</t>
  </si>
  <si>
    <t>氧化钡(BaO)_归一化</t>
  </si>
  <si>
    <t>五氧化二磷(P2O5)_归一化</t>
  </si>
  <si>
    <t>氧化锶(SrO)_归一化</t>
  </si>
  <si>
    <t>氧化锡(SnO2)_归一化</t>
  </si>
  <si>
    <t>二氧化硫(SO2)_归一化</t>
  </si>
  <si>
    <t>归一化合计</t>
  </si>
  <si>
    <t>采样点</t>
  </si>
  <si>
    <t>实际风化</t>
  </si>
  <si>
    <t>2022C 数据清洗质量检查</t>
  </si>
  <si>
    <t>检查项</t>
  </si>
  <si>
    <t>实际值</t>
  </si>
  <si>
    <t>预期值</t>
  </si>
  <si>
    <t>结果</t>
  </si>
  <si>
    <t>表单1文物数</t>
  </si>
  <si>
    <t>高钾文物数</t>
  </si>
  <si>
    <t>铅钡文物数</t>
  </si>
  <si>
    <t>风化文物数</t>
  </si>
  <si>
    <t>无风化文物数</t>
  </si>
  <si>
    <t>颜色缺失数</t>
  </si>
  <si>
    <t>表单1异常行数</t>
  </si>
  <si>
    <t>表单2采样点数</t>
  </si>
  <si>
    <t>有效采样点数</t>
  </si>
  <si>
    <t>无效采样点数</t>
  </si>
  <si>
    <t>模型数据行数</t>
  </si>
  <si>
    <t>高钾-无风化</t>
  </si>
  <si>
    <t>高钾-风化</t>
  </si>
  <si>
    <t>铅钡-无风化</t>
  </si>
  <si>
    <t>铅钡-风化</t>
  </si>
  <si>
    <t>归一化合计异常数</t>
  </si>
  <si>
    <t>无效样本</t>
  </si>
  <si>
    <t>15（合计79.47%）；17（合计71.89%）</t>
  </si>
  <si>
    <t>处理方式</t>
  </si>
  <si>
    <t>完整清洗表保留，模型数据排除</t>
  </si>
  <si>
    <t>清洗规则：原始表不改动；颜色空白记为“未知”并增加缺失标记；化学成分空白表示未检出，求和与归一化时按0处理；原始合计在85%-105%之间为有效；有效成分按行归一化到100%。</t>
  </si>
  <si>
    <t>未检出数</t>
    <phoneticPr fontId="17" type="noConversion"/>
  </si>
  <si>
    <t>ssi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</si>
</sst>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0"/>
    <numFmt numFmtId="178" formatCode="0.0000"/>
  </numFmts>
  <fonts count="18">
    <font>
      <sz val="11"/>
      <color theme="1"/>
      <name val="宋体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1"/>
      <color rgb="FFC00000"/>
      <name val="宋体"/>
      <family val="3"/>
      <charset val="134"/>
    </font>
    <font>
      <b/>
      <sz val="10"/>
      <color rgb="FFC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b/>
      <sz val="10"/>
      <color rgb="FFC00000"/>
      <name val="宋体"/>
      <family val="3"/>
      <charset val="134"/>
    </font>
    <font>
      <sz val="11"/>
      <color rgb="FFC00000"/>
      <name val="宋体"/>
      <family val="3"/>
      <charset val="134"/>
    </font>
    <font>
      <b/>
      <sz val="11"/>
      <color rgb="FFC00000"/>
      <name val="Times New Roman"/>
      <family val="1"/>
    </font>
    <font>
      <b/>
      <sz val="10"/>
      <color rgb="FFC00000"/>
      <name val="Times New Roman"/>
      <family val="1"/>
    </font>
    <font>
      <b/>
      <sz val="11"/>
      <color rgb="FFFFFFFF"/>
      <name val="宋体"/>
      <family val="3"/>
      <charset val="134"/>
    </font>
    <font>
      <b/>
      <sz val="16"/>
      <color rgb="FFFFFFFF"/>
      <name val="宋体"/>
      <family val="3"/>
      <charset val="134"/>
    </font>
    <font>
      <b/>
      <sz val="10"/>
      <color rgb="FFC00000"/>
      <name val="宋体"/>
      <family val="3"/>
    </font>
    <font>
      <b/>
      <sz val="11"/>
      <color rgb="FFC00000"/>
      <name val="宋体"/>
      <family val="3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E6F4F1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2E0"/>
      </left>
      <right style="thin">
        <color rgb="FFD7E2E0"/>
      </right>
      <top style="thin">
        <color rgb="FFD7E2E0"/>
      </top>
      <bottom style="thin">
        <color rgb="FFD7E2E0"/>
      </bottom>
      <diagonal/>
    </border>
    <border>
      <left/>
      <right style="thin">
        <color rgb="FFD7E2E0"/>
      </right>
      <top/>
      <bottom style="thin">
        <color rgb="FFD7E2E0"/>
      </bottom>
      <diagonal/>
    </border>
    <border>
      <left style="thin">
        <color rgb="FFD7E2E0"/>
      </left>
      <right style="thin">
        <color rgb="FFD7E2E0"/>
      </right>
      <top/>
      <bottom style="thin">
        <color rgb="FFD7E2E0"/>
      </bottom>
      <diagonal/>
    </border>
    <border>
      <left style="thin">
        <color rgb="FFD7E2E0"/>
      </left>
      <right/>
      <top/>
      <bottom style="thin">
        <color rgb="FFD7E2E0"/>
      </bottom>
      <diagonal/>
    </border>
    <border>
      <left/>
      <right style="thin">
        <color rgb="FFD7E2E0"/>
      </right>
      <top style="thin">
        <color rgb="FFD7E2E0"/>
      </top>
      <bottom style="thin">
        <color rgb="FFD7E2E0"/>
      </bottom>
      <diagonal/>
    </border>
    <border>
      <left style="thin">
        <color rgb="FFD7E2E0"/>
      </left>
      <right/>
      <top style="thin">
        <color rgb="FFD7E2E0"/>
      </top>
      <bottom style="thin">
        <color rgb="FFD7E2E0"/>
      </bottom>
      <diagonal/>
    </border>
    <border>
      <left/>
      <right style="thin">
        <color rgb="FFD7E2E0"/>
      </right>
      <top style="thin">
        <color rgb="FFD7E2E0"/>
      </top>
      <bottom/>
      <diagonal/>
    </border>
    <border>
      <left style="thin">
        <color rgb="FFD7E2E0"/>
      </left>
      <right style="thin">
        <color rgb="FFD7E2E0"/>
      </right>
      <top style="thin">
        <color rgb="FFD7E2E0"/>
      </top>
      <bottom/>
      <diagonal/>
    </border>
    <border>
      <left style="thin">
        <color rgb="FFD7E2E0"/>
      </left>
      <right/>
      <top style="thin">
        <color rgb="FFD7E2E0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49" fontId="7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1" fontId="0" fillId="2" borderId="0" xfId="0" applyNumberFormat="1" applyFill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178" fontId="0" fillId="0" borderId="0" xfId="0" applyNumberFormat="1">
      <alignment vertical="center"/>
    </xf>
    <xf numFmtId="2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3" fillId="3" borderId="0" xfId="0" applyFont="1" applyFill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4" fillId="4" borderId="0" xfId="0" applyFont="1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4">
    <dxf>
      <font>
        <b/>
        <color rgb="FF166534"/>
      </font>
      <fill>
        <patternFill patternType="solid">
          <bgColor rgb="FFE8F5E9"/>
        </patternFill>
      </fill>
    </dxf>
    <dxf>
      <font>
        <b/>
        <color rgb="FFA61B1B"/>
      </font>
      <fill>
        <patternFill patternType="solid">
          <bgColor rgb="FFFDECEC"/>
        </patternFill>
      </fill>
    </dxf>
    <dxf>
      <font>
        <b/>
        <color rgb="FFA61B1B"/>
      </font>
      <fill>
        <patternFill patternType="solid">
          <bgColor rgb="FFFDECEC"/>
        </patternFill>
      </fill>
    </dxf>
    <dxf>
      <font>
        <b/>
        <color rgb="FF9C1C1C"/>
      </font>
      <fill>
        <patternFill patternType="solid"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5" name="/xl/media/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ArtifactInfo" displayName="CleanArtifactInfo" ref="A1:I59" totalsRowShown="0">
  <tableColumns count="9">
    <tableColumn id="1" xr3:uid="{00000000-0010-0000-0000-000001000000}" name="文物编号"/>
    <tableColumn id="2" xr3:uid="{00000000-0010-0000-0000-000002000000}" name="纹饰"/>
    <tableColumn id="3" xr3:uid="{00000000-0010-0000-0000-000003000000}" name="类型"/>
    <tableColumn id="4" xr3:uid="{00000000-0010-0000-0000-000004000000}" name="颜色"/>
    <tableColumn id="5" xr3:uid="{00000000-0010-0000-0000-000005000000}" name="表面风化"/>
    <tableColumn id="6" xr3:uid="{00000000-0010-0000-0000-000006000000}" name="清洗颜色"/>
    <tableColumn id="7" xr3:uid="{00000000-0010-0000-0000-000007000000}" name="风化编码"/>
    <tableColumn id="8" xr3:uid="{00000000-0010-0000-0000-000008000000}" name="颜色缺失"/>
    <tableColumn id="9" xr3:uid="{00000000-0010-0000-0000-000009000000}" name="数据检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CompositionPoints" displayName="CleanCompositionPoints" ref="A1:AL70" totalsRowShown="0">
  <tableColumns count="38">
    <tableColumn id="1" xr3:uid="{00000000-0010-0000-0100-000001000000}" name="文物采样点"/>
    <tableColumn id="2" xr3:uid="{00000000-0010-0000-0100-000002000000}" name="二氧化硅(SiO2)"/>
    <tableColumn id="3" xr3:uid="{00000000-0010-0000-0100-000003000000}" name="氧化钠(Na2O)"/>
    <tableColumn id="4" xr3:uid="{00000000-0010-0000-0100-000004000000}" name="氧化钾(K2O)"/>
    <tableColumn id="5" xr3:uid="{00000000-0010-0000-0100-000005000000}" name="氧化钙(CaO)"/>
    <tableColumn id="6" xr3:uid="{00000000-0010-0000-0100-000006000000}" name="氧化镁(MgO)"/>
    <tableColumn id="7" xr3:uid="{00000000-0010-0000-0100-000007000000}" name="氧化铝(Al2O3)"/>
    <tableColumn id="8" xr3:uid="{00000000-0010-0000-0100-000008000000}" name="氧化铁(Fe2O3)"/>
    <tableColumn id="9" xr3:uid="{00000000-0010-0000-0100-000009000000}" name="氧化铜(CuO)"/>
    <tableColumn id="10" xr3:uid="{00000000-0010-0000-0100-00000A000000}" name="氧化铅(PbO)"/>
    <tableColumn id="11" xr3:uid="{00000000-0010-0000-0100-00000B000000}" name="氧化钡(BaO)"/>
    <tableColumn id="12" xr3:uid="{00000000-0010-0000-0100-00000C000000}" name="五氧化二磷(P2O5)"/>
    <tableColumn id="13" xr3:uid="{00000000-0010-0000-0100-00000D000000}" name="氧化锶(SrO)"/>
    <tableColumn id="14" xr3:uid="{00000000-0010-0000-0100-00000E000000}" name="氧化锡(SnO2)"/>
    <tableColumn id="15" xr3:uid="{00000000-0010-0000-0100-00000F000000}" name="二氧化硫(SO2)"/>
    <tableColumn id="16" xr3:uid="{00000000-0010-0000-0100-000010000000}" name="文物编号"/>
    <tableColumn id="17" xr3:uid="{00000000-0010-0000-0100-000011000000}" name="采样点类型"/>
    <tableColumn id="18" xr3:uid="{00000000-0010-0000-0100-000012000000}" name="玻璃类型"/>
    <tableColumn id="19" xr3:uid="{00000000-0010-0000-0100-000013000000}" name="文物整体风化"/>
    <tableColumn id="20" xr3:uid="{00000000-0010-0000-0100-000014000000}" name="采样点实际风化"/>
    <tableColumn id="21" xr3:uid="{00000000-0010-0000-0100-000015000000}" name="原始成分总和"/>
    <tableColumn id="22" xr3:uid="{00000000-0010-0000-0100-000016000000}" name="数据有效性"/>
    <tableColumn id="23" xr3:uid="{00000000-0010-0000-0100-000017000000}" name="未检出成分数"/>
    <tableColumn id="24" xr3:uid="{00000000-0010-0000-0100-000018000000}" name="二氧化硅(SiO2)_归一化"/>
    <tableColumn id="25" xr3:uid="{00000000-0010-0000-0100-000019000000}" name="氧化钠(Na2O)_归一化"/>
    <tableColumn id="26" xr3:uid="{00000000-0010-0000-0100-00001A000000}" name="氧化钾(K2O)_归一化"/>
    <tableColumn id="27" xr3:uid="{00000000-0010-0000-0100-00001B000000}" name="氧化钙(CaO)_归一化"/>
    <tableColumn id="28" xr3:uid="{00000000-0010-0000-0100-00001C000000}" name="氧化镁(MgO)_归一化"/>
    <tableColumn id="29" xr3:uid="{00000000-0010-0000-0100-00001D000000}" name="氧化铝(Al2O3)_归一化"/>
    <tableColumn id="30" xr3:uid="{00000000-0010-0000-0100-00001E000000}" name="氧化铁(Fe2O3)_归一化"/>
    <tableColumn id="31" xr3:uid="{00000000-0010-0000-0100-00001F000000}" name="氧化铜(CuO)_归一化"/>
    <tableColumn id="32" xr3:uid="{00000000-0010-0000-0100-000020000000}" name="氧化铅(PbO)_归一化"/>
    <tableColumn id="33" xr3:uid="{00000000-0010-0000-0100-000021000000}" name="氧化钡(BaO)_归一化"/>
    <tableColumn id="34" xr3:uid="{00000000-0010-0000-0100-000022000000}" name="五氧化二磷(P2O5)_归一化"/>
    <tableColumn id="35" xr3:uid="{00000000-0010-0000-0100-000023000000}" name="氧化锶(SrO)_归一化"/>
    <tableColumn id="36" xr3:uid="{00000000-0010-0000-0100-000024000000}" name="氧化锡(SnO2)_归一化"/>
    <tableColumn id="37" xr3:uid="{00000000-0010-0000-0100-000025000000}" name="二氧化硫(SO2)_归一化"/>
    <tableColumn id="38" xr3:uid="{00000000-0010-0000-0100-000026000000}" name="归一化合计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ReadyComposition" displayName="ModelReadyComposition" ref="A1:V68" totalsRowShown="0">
  <tableColumns count="22">
    <tableColumn id="1" xr3:uid="{00000000-0010-0000-0200-000001000000}" name="采样点"/>
    <tableColumn id="2" xr3:uid="{00000000-0010-0000-0200-000002000000}" name="文物编号"/>
    <tableColumn id="3" xr3:uid="{00000000-0010-0000-0200-000003000000}" name="采样点类型"/>
    <tableColumn id="4" xr3:uid="{00000000-0010-0000-0200-000004000000}" name="玻璃类型"/>
    <tableColumn id="5" xr3:uid="{00000000-0010-0000-0200-000005000000}" name="实际风化"/>
    <tableColumn id="6" xr3:uid="{00000000-0010-0000-0200-000006000000}" name="原始成分总和"/>
    <tableColumn id="7" xr3:uid="{00000000-0010-0000-0200-000007000000}" name="未检出数"/>
    <tableColumn id="8" xr3:uid="{00000000-0010-0000-0200-000008000000}" name="二氧化硅(SiO2)_归一化"/>
    <tableColumn id="9" xr3:uid="{00000000-0010-0000-0200-000009000000}" name="氧化钠(Na2O)_归一化"/>
    <tableColumn id="10" xr3:uid="{00000000-0010-0000-0200-00000A000000}" name="氧化钾(K2O)_归一化"/>
    <tableColumn id="11" xr3:uid="{00000000-0010-0000-0200-00000B000000}" name="氧化钙(CaO)_归一化"/>
    <tableColumn id="12" xr3:uid="{00000000-0010-0000-0200-00000C000000}" name="氧化镁(MgO)_归一化"/>
    <tableColumn id="13" xr3:uid="{00000000-0010-0000-0200-00000D000000}" name="氧化铝(Al2O3)_归一化"/>
    <tableColumn id="14" xr3:uid="{00000000-0010-0000-0200-00000E000000}" name="氧化铁(Fe2O3)_归一化"/>
    <tableColumn id="15" xr3:uid="{00000000-0010-0000-0200-00000F000000}" name="氧化铜(CuO)_归一化"/>
    <tableColumn id="16" xr3:uid="{00000000-0010-0000-0200-000010000000}" name="氧化铅(PbO)_归一化"/>
    <tableColumn id="17" xr3:uid="{00000000-0010-0000-0200-000011000000}" name="氧化钡(BaO)_归一化"/>
    <tableColumn id="18" xr3:uid="{00000000-0010-0000-0200-000012000000}" name="五氧化二磷(P2O5)_归一化"/>
    <tableColumn id="19" xr3:uid="{00000000-0010-0000-0200-000013000000}" name="氧化锶(SrO)_归一化"/>
    <tableColumn id="20" xr3:uid="{00000000-0010-0000-0200-000014000000}" name="氧化锡(SnO2)_归一化"/>
    <tableColumn id="21" xr3:uid="{00000000-0010-0000-0200-000015000000}" name="二氧化硫(SO2)_归一化"/>
    <tableColumn id="22" xr3:uid="{00000000-0010-0000-0200-000016000000}" name="归一化合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workbookViewId="0">
      <selection activeCell="B9" sqref="B9"/>
    </sheetView>
  </sheetViews>
  <sheetFormatPr baseColWidth="10" defaultColWidth="8.6640625" defaultRowHeight="14"/>
  <cols>
    <col min="1" max="1" width="10.6640625" style="2" customWidth="1"/>
    <col min="2" max="5" width="10.6640625" style="6" customWidth="1"/>
    <col min="6" max="16384" width="8.6640625" style="6"/>
  </cols>
  <sheetData>
    <row r="1" spans="1:5" s="19" customFormat="1" ht="18.7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 spans="1:5" ht="15">
      <c r="A2" s="7" t="s">
        <v>5</v>
      </c>
      <c r="B2" s="4" t="s">
        <v>6</v>
      </c>
      <c r="C2" s="3" t="s">
        <v>7</v>
      </c>
      <c r="D2" s="4" t="s">
        <v>8</v>
      </c>
      <c r="E2" s="3" t="s">
        <v>9</v>
      </c>
    </row>
    <row r="3" spans="1:5" ht="15">
      <c r="A3" s="7" t="s">
        <v>10</v>
      </c>
      <c r="B3" s="3" t="s">
        <v>11</v>
      </c>
      <c r="C3" s="4" t="s">
        <v>12</v>
      </c>
      <c r="D3" s="3" t="s">
        <v>13</v>
      </c>
      <c r="E3" s="3" t="s">
        <v>14</v>
      </c>
    </row>
    <row r="4" spans="1:5" ht="15">
      <c r="A4" s="7" t="s">
        <v>15</v>
      </c>
      <c r="B4" s="3" t="s">
        <v>11</v>
      </c>
      <c r="C4" s="3" t="s">
        <v>7</v>
      </c>
      <c r="D4" s="3" t="s">
        <v>8</v>
      </c>
      <c r="E4" s="3" t="s">
        <v>9</v>
      </c>
    </row>
    <row r="5" spans="1:5" ht="15">
      <c r="A5" s="7" t="s">
        <v>16</v>
      </c>
      <c r="B5" s="3" t="s">
        <v>11</v>
      </c>
      <c r="C5" s="3" t="s">
        <v>7</v>
      </c>
      <c r="D5" s="4" t="s">
        <v>8</v>
      </c>
      <c r="E5" s="3" t="s">
        <v>9</v>
      </c>
    </row>
    <row r="6" spans="1:5" ht="15">
      <c r="A6" s="7" t="s">
        <v>17</v>
      </c>
      <c r="B6" s="3" t="s">
        <v>11</v>
      </c>
      <c r="C6" s="3" t="s">
        <v>7</v>
      </c>
      <c r="D6" s="4" t="s">
        <v>8</v>
      </c>
      <c r="E6" s="3" t="s">
        <v>9</v>
      </c>
    </row>
    <row r="7" spans="1:5" ht="15">
      <c r="A7" s="7" t="s">
        <v>18</v>
      </c>
      <c r="B7" s="3" t="s">
        <v>11</v>
      </c>
      <c r="C7" s="3" t="s">
        <v>7</v>
      </c>
      <c r="D7" s="3" t="s">
        <v>8</v>
      </c>
      <c r="E7" s="3" t="s">
        <v>9</v>
      </c>
    </row>
    <row r="8" spans="1:5" ht="15">
      <c r="A8" s="7" t="s">
        <v>19</v>
      </c>
      <c r="B8" s="4" t="s">
        <v>20</v>
      </c>
      <c r="C8" s="3" t="s">
        <v>7</v>
      </c>
      <c r="D8" s="4" t="s">
        <v>8</v>
      </c>
      <c r="E8" s="3" t="s">
        <v>14</v>
      </c>
    </row>
    <row r="9" spans="1:5" ht="15">
      <c r="A9" s="7" t="s">
        <v>21</v>
      </c>
      <c r="B9" s="3" t="s">
        <v>6</v>
      </c>
      <c r="C9" s="4" t="s">
        <v>12</v>
      </c>
      <c r="D9" s="3" t="s">
        <v>22</v>
      </c>
      <c r="E9" s="3" t="s">
        <v>14</v>
      </c>
    </row>
    <row r="10" spans="1:5" ht="15">
      <c r="A10" s="7" t="s">
        <v>23</v>
      </c>
      <c r="B10" s="4" t="s">
        <v>20</v>
      </c>
      <c r="C10" s="3" t="s">
        <v>7</v>
      </c>
      <c r="D10" s="4" t="s">
        <v>8</v>
      </c>
      <c r="E10" s="3" t="s">
        <v>14</v>
      </c>
    </row>
    <row r="11" spans="1:5" ht="15">
      <c r="A11" s="7" t="s">
        <v>24</v>
      </c>
      <c r="B11" s="4" t="s">
        <v>20</v>
      </c>
      <c r="C11" s="3" t="s">
        <v>7</v>
      </c>
      <c r="D11" s="4" t="s">
        <v>8</v>
      </c>
      <c r="E11" s="3" t="s">
        <v>14</v>
      </c>
    </row>
    <row r="12" spans="1:5" ht="15">
      <c r="A12" s="7" t="s">
        <v>25</v>
      </c>
      <c r="B12" s="3" t="s">
        <v>6</v>
      </c>
      <c r="C12" s="4" t="s">
        <v>12</v>
      </c>
      <c r="D12" s="3" t="s">
        <v>13</v>
      </c>
      <c r="E12" s="3" t="s">
        <v>14</v>
      </c>
    </row>
    <row r="13" spans="1:5" ht="15">
      <c r="A13" s="7" t="s">
        <v>26</v>
      </c>
      <c r="B13" s="4" t="s">
        <v>20</v>
      </c>
      <c r="C13" s="3" t="s">
        <v>7</v>
      </c>
      <c r="D13" s="4" t="s">
        <v>8</v>
      </c>
      <c r="E13" s="3" t="s">
        <v>14</v>
      </c>
    </row>
    <row r="14" spans="1:5" ht="15">
      <c r="A14" s="7" t="s">
        <v>27</v>
      </c>
      <c r="B14" s="3" t="s">
        <v>6</v>
      </c>
      <c r="C14" s="3" t="s">
        <v>7</v>
      </c>
      <c r="D14" s="3" t="s">
        <v>13</v>
      </c>
      <c r="E14" s="3" t="s">
        <v>9</v>
      </c>
    </row>
    <row r="15" spans="1:5" ht="15">
      <c r="A15" s="7" t="s">
        <v>28</v>
      </c>
      <c r="B15" s="3" t="s">
        <v>6</v>
      </c>
      <c r="C15" s="3" t="s">
        <v>7</v>
      </c>
      <c r="D15" s="3" t="s">
        <v>29</v>
      </c>
      <c r="E15" s="3" t="s">
        <v>9</v>
      </c>
    </row>
    <row r="16" spans="1:5" ht="15">
      <c r="A16" s="7" t="s">
        <v>30</v>
      </c>
      <c r="B16" s="3" t="s">
        <v>6</v>
      </c>
      <c r="C16" s="3" t="s">
        <v>7</v>
      </c>
      <c r="D16" s="3" t="s">
        <v>13</v>
      </c>
      <c r="E16" s="3" t="s">
        <v>9</v>
      </c>
    </row>
    <row r="17" spans="1:5" ht="15">
      <c r="A17" s="7" t="s">
        <v>31</v>
      </c>
      <c r="B17" s="3" t="s">
        <v>6</v>
      </c>
      <c r="C17" s="3" t="s">
        <v>7</v>
      </c>
      <c r="D17" s="3" t="s">
        <v>13</v>
      </c>
      <c r="E17" s="3" t="s">
        <v>9</v>
      </c>
    </row>
    <row r="18" spans="1:5" ht="15">
      <c r="A18" s="7" t="s">
        <v>32</v>
      </c>
      <c r="B18" s="3" t="s">
        <v>6</v>
      </c>
      <c r="C18" s="3" t="s">
        <v>7</v>
      </c>
      <c r="D18" s="3" t="s">
        <v>13</v>
      </c>
      <c r="E18" s="3" t="s">
        <v>9</v>
      </c>
    </row>
    <row r="19" spans="1:5" ht="15">
      <c r="A19" s="7" t="s">
        <v>33</v>
      </c>
      <c r="B19" s="3" t="s">
        <v>11</v>
      </c>
      <c r="C19" s="3" t="s">
        <v>7</v>
      </c>
      <c r="D19" s="3" t="s">
        <v>34</v>
      </c>
      <c r="E19" s="3" t="s">
        <v>9</v>
      </c>
    </row>
    <row r="20" spans="1:5" ht="15">
      <c r="A20" s="7" t="s">
        <v>35</v>
      </c>
      <c r="B20" s="4" t="s">
        <v>11</v>
      </c>
      <c r="C20" s="4" t="s">
        <v>12</v>
      </c>
      <c r="D20" s="4"/>
      <c r="E20" s="3" t="s">
        <v>14</v>
      </c>
    </row>
    <row r="21" spans="1:5" ht="15">
      <c r="A21" s="7" t="s">
        <v>36</v>
      </c>
      <c r="B21" s="3" t="s">
        <v>11</v>
      </c>
      <c r="C21" s="4" t="s">
        <v>12</v>
      </c>
      <c r="D21" s="3" t="s">
        <v>13</v>
      </c>
      <c r="E21" s="3" t="s">
        <v>9</v>
      </c>
    </row>
    <row r="22" spans="1:5" ht="15">
      <c r="A22" s="7" t="s">
        <v>37</v>
      </c>
      <c r="B22" s="3" t="s">
        <v>11</v>
      </c>
      <c r="C22" s="3" t="s">
        <v>7</v>
      </c>
      <c r="D22" s="3" t="s">
        <v>8</v>
      </c>
      <c r="E22" s="3" t="s">
        <v>9</v>
      </c>
    </row>
    <row r="23" spans="1:5" ht="15">
      <c r="A23" s="7" t="s">
        <v>38</v>
      </c>
      <c r="B23" s="4" t="s">
        <v>20</v>
      </c>
      <c r="C23" s="3" t="s">
        <v>7</v>
      </c>
      <c r="D23" s="4" t="s">
        <v>8</v>
      </c>
      <c r="E23" s="3" t="s">
        <v>14</v>
      </c>
    </row>
    <row r="24" spans="1:5" ht="15">
      <c r="A24" s="7" t="s">
        <v>39</v>
      </c>
      <c r="B24" s="3" t="s">
        <v>11</v>
      </c>
      <c r="C24" s="4" t="s">
        <v>12</v>
      </c>
      <c r="D24" s="3" t="s">
        <v>8</v>
      </c>
      <c r="E24" s="3" t="s">
        <v>14</v>
      </c>
    </row>
    <row r="25" spans="1:5" ht="15">
      <c r="A25" s="7" t="s">
        <v>40</v>
      </c>
      <c r="B25" s="3" t="s">
        <v>6</v>
      </c>
      <c r="C25" s="4" t="s">
        <v>12</v>
      </c>
      <c r="D25" s="3" t="s">
        <v>22</v>
      </c>
      <c r="E25" s="3" t="s">
        <v>9</v>
      </c>
    </row>
    <row r="26" spans="1:5" ht="15">
      <c r="A26" s="7" t="s">
        <v>41</v>
      </c>
      <c r="B26" s="3" t="s">
        <v>6</v>
      </c>
      <c r="C26" s="4" t="s">
        <v>12</v>
      </c>
      <c r="D26" s="3" t="s">
        <v>13</v>
      </c>
      <c r="E26" s="3" t="s">
        <v>14</v>
      </c>
    </row>
    <row r="27" spans="1:5" ht="15">
      <c r="A27" s="7" t="s">
        <v>42</v>
      </c>
      <c r="B27" s="3" t="s">
        <v>6</v>
      </c>
      <c r="C27" s="4" t="s">
        <v>12</v>
      </c>
      <c r="D27" s="3" t="s">
        <v>22</v>
      </c>
      <c r="E27" s="3" t="s">
        <v>14</v>
      </c>
    </row>
    <row r="28" spans="1:5" ht="15">
      <c r="A28" s="7" t="s">
        <v>43</v>
      </c>
      <c r="B28" s="4" t="s">
        <v>20</v>
      </c>
      <c r="C28" s="3" t="s">
        <v>7</v>
      </c>
      <c r="D28" s="4" t="s">
        <v>8</v>
      </c>
      <c r="E28" s="3" t="s">
        <v>14</v>
      </c>
    </row>
    <row r="29" spans="1:5" ht="15">
      <c r="A29" s="7" t="s">
        <v>44</v>
      </c>
      <c r="B29" s="3" t="s">
        <v>11</v>
      </c>
      <c r="C29" s="4" t="s">
        <v>12</v>
      </c>
      <c r="D29" s="3" t="s">
        <v>13</v>
      </c>
      <c r="E29" s="3" t="s">
        <v>14</v>
      </c>
    </row>
    <row r="30" spans="1:5" ht="15">
      <c r="A30" s="7" t="s">
        <v>45</v>
      </c>
      <c r="B30" s="3" t="s">
        <v>11</v>
      </c>
      <c r="C30" s="4" t="s">
        <v>12</v>
      </c>
      <c r="D30" s="3" t="s">
        <v>13</v>
      </c>
      <c r="E30" s="3" t="s">
        <v>14</v>
      </c>
    </row>
    <row r="31" spans="1:5" ht="15">
      <c r="A31" s="7" t="s">
        <v>46</v>
      </c>
      <c r="B31" s="3" t="s">
        <v>11</v>
      </c>
      <c r="C31" s="4" t="s">
        <v>12</v>
      </c>
      <c r="D31" s="3" t="s">
        <v>34</v>
      </c>
      <c r="E31" s="3" t="s">
        <v>9</v>
      </c>
    </row>
    <row r="32" spans="1:5" ht="15">
      <c r="A32" s="7" t="s">
        <v>47</v>
      </c>
      <c r="B32" s="3" t="s">
        <v>6</v>
      </c>
      <c r="C32" s="4" t="s">
        <v>12</v>
      </c>
      <c r="D32" s="3" t="s">
        <v>22</v>
      </c>
      <c r="E32" s="3" t="s">
        <v>9</v>
      </c>
    </row>
    <row r="33" spans="1:5" ht="15">
      <c r="A33" s="7" t="s">
        <v>48</v>
      </c>
      <c r="B33" s="3" t="s">
        <v>6</v>
      </c>
      <c r="C33" s="4" t="s">
        <v>12</v>
      </c>
      <c r="D33" s="3" t="s">
        <v>49</v>
      </c>
      <c r="E33" s="3" t="s">
        <v>9</v>
      </c>
    </row>
    <row r="34" spans="1:5" ht="15">
      <c r="A34" s="7" t="s">
        <v>50</v>
      </c>
      <c r="B34" s="3" t="s">
        <v>6</v>
      </c>
      <c r="C34" s="4" t="s">
        <v>12</v>
      </c>
      <c r="D34" s="3" t="s">
        <v>29</v>
      </c>
      <c r="E34" s="3" t="s">
        <v>9</v>
      </c>
    </row>
    <row r="35" spans="1:5" ht="15">
      <c r="A35" s="7" t="s">
        <v>51</v>
      </c>
      <c r="B35" s="3" t="s">
        <v>6</v>
      </c>
      <c r="C35" s="4" t="s">
        <v>12</v>
      </c>
      <c r="D35" s="3" t="s">
        <v>29</v>
      </c>
      <c r="E35" s="3" t="s">
        <v>14</v>
      </c>
    </row>
    <row r="36" spans="1:5" ht="15">
      <c r="A36" s="7" t="s">
        <v>52</v>
      </c>
      <c r="B36" s="3" t="s">
        <v>6</v>
      </c>
      <c r="C36" s="4" t="s">
        <v>12</v>
      </c>
      <c r="D36" s="3" t="s">
        <v>49</v>
      </c>
      <c r="E36" s="3" t="s">
        <v>9</v>
      </c>
    </row>
    <row r="37" spans="1:5" ht="15">
      <c r="A37" s="7" t="s">
        <v>53</v>
      </c>
      <c r="B37" s="3" t="s">
        <v>6</v>
      </c>
      <c r="C37" s="4" t="s">
        <v>12</v>
      </c>
      <c r="D37" s="3" t="s">
        <v>29</v>
      </c>
      <c r="E37" s="3" t="s">
        <v>14</v>
      </c>
    </row>
    <row r="38" spans="1:5" ht="15">
      <c r="A38" s="7" t="s">
        <v>54</v>
      </c>
      <c r="B38" s="3" t="s">
        <v>6</v>
      </c>
      <c r="C38" s="4" t="s">
        <v>12</v>
      </c>
      <c r="D38" s="3" t="s">
        <v>29</v>
      </c>
      <c r="E38" s="3" t="s">
        <v>9</v>
      </c>
    </row>
    <row r="39" spans="1:5" ht="15">
      <c r="A39" s="7" t="s">
        <v>55</v>
      </c>
      <c r="B39" s="3" t="s">
        <v>6</v>
      </c>
      <c r="C39" s="4" t="s">
        <v>12</v>
      </c>
      <c r="D39" s="3" t="s">
        <v>29</v>
      </c>
      <c r="E39" s="3" t="s">
        <v>14</v>
      </c>
    </row>
    <row r="40" spans="1:5" ht="15">
      <c r="A40" s="7" t="s">
        <v>56</v>
      </c>
      <c r="B40" s="3" t="s">
        <v>6</v>
      </c>
      <c r="C40" s="4" t="s">
        <v>12</v>
      </c>
      <c r="D40" s="3" t="s">
        <v>29</v>
      </c>
      <c r="E40" s="3" t="s">
        <v>14</v>
      </c>
    </row>
    <row r="41" spans="1:5" ht="15">
      <c r="A41" s="7" t="s">
        <v>57</v>
      </c>
      <c r="B41" s="3" t="s">
        <v>6</v>
      </c>
      <c r="C41" s="4" t="s">
        <v>12</v>
      </c>
      <c r="D41" s="3"/>
      <c r="E41" s="3" t="s">
        <v>14</v>
      </c>
    </row>
    <row r="42" spans="1:5" ht="15">
      <c r="A42" s="7" t="s">
        <v>58</v>
      </c>
      <c r="B42" s="3" t="s">
        <v>6</v>
      </c>
      <c r="C42" s="4" t="s">
        <v>12</v>
      </c>
      <c r="D42" s="3" t="s">
        <v>49</v>
      </c>
      <c r="E42" s="3" t="s">
        <v>14</v>
      </c>
    </row>
    <row r="43" spans="1:5" ht="15">
      <c r="A43" s="7" t="s">
        <v>59</v>
      </c>
      <c r="B43" s="3" t="s">
        <v>11</v>
      </c>
      <c r="C43" s="4" t="s">
        <v>12</v>
      </c>
      <c r="D43" s="3" t="s">
        <v>13</v>
      </c>
      <c r="E43" s="3" t="s">
        <v>14</v>
      </c>
    </row>
    <row r="44" spans="1:5" ht="15">
      <c r="A44" s="7" t="s">
        <v>60</v>
      </c>
      <c r="B44" s="3" t="s">
        <v>6</v>
      </c>
      <c r="C44" s="4" t="s">
        <v>12</v>
      </c>
      <c r="D44" s="3" t="s">
        <v>13</v>
      </c>
      <c r="E44" s="3" t="s">
        <v>14</v>
      </c>
    </row>
    <row r="45" spans="1:5" ht="15">
      <c r="A45" s="7" t="s">
        <v>61</v>
      </c>
      <c r="B45" s="3" t="s">
        <v>11</v>
      </c>
      <c r="C45" s="4" t="s">
        <v>12</v>
      </c>
      <c r="D45" s="3" t="s">
        <v>13</v>
      </c>
      <c r="E45" s="3" t="s">
        <v>14</v>
      </c>
    </row>
    <row r="46" spans="1:5" ht="15">
      <c r="A46" s="7" t="s">
        <v>62</v>
      </c>
      <c r="B46" s="3" t="s">
        <v>11</v>
      </c>
      <c r="C46" s="4" t="s">
        <v>12</v>
      </c>
      <c r="D46" s="3" t="s">
        <v>13</v>
      </c>
      <c r="E46" s="3" t="s">
        <v>9</v>
      </c>
    </row>
    <row r="47" spans="1:5" ht="15">
      <c r="A47" s="7" t="s">
        <v>63</v>
      </c>
      <c r="B47" s="3" t="s">
        <v>11</v>
      </c>
      <c r="C47" s="4" t="s">
        <v>12</v>
      </c>
      <c r="D47" s="3" t="s">
        <v>13</v>
      </c>
      <c r="E47" s="3" t="s">
        <v>9</v>
      </c>
    </row>
    <row r="48" spans="1:5" ht="15">
      <c r="A48" s="7" t="s">
        <v>64</v>
      </c>
      <c r="B48" s="3" t="s">
        <v>11</v>
      </c>
      <c r="C48" s="4" t="s">
        <v>12</v>
      </c>
      <c r="D48" s="3" t="s">
        <v>13</v>
      </c>
      <c r="E48" s="3" t="s">
        <v>9</v>
      </c>
    </row>
    <row r="49" spans="1:5" ht="15">
      <c r="A49" s="7" t="s">
        <v>65</v>
      </c>
      <c r="B49" s="3" t="s">
        <v>11</v>
      </c>
      <c r="C49" s="4" t="s">
        <v>12</v>
      </c>
      <c r="D49" s="3"/>
      <c r="E49" s="3" t="s">
        <v>14</v>
      </c>
    </row>
    <row r="50" spans="1:5" ht="15">
      <c r="A50" s="7" t="s">
        <v>66</v>
      </c>
      <c r="B50" s="3" t="s">
        <v>11</v>
      </c>
      <c r="C50" s="4" t="s">
        <v>12</v>
      </c>
      <c r="D50" s="3" t="s">
        <v>67</v>
      </c>
      <c r="E50" s="3" t="s">
        <v>14</v>
      </c>
    </row>
    <row r="51" spans="1:5" ht="15">
      <c r="A51" s="7" t="s">
        <v>68</v>
      </c>
      <c r="B51" s="3" t="s">
        <v>11</v>
      </c>
      <c r="C51" s="4" t="s">
        <v>12</v>
      </c>
      <c r="D51" s="3" t="s">
        <v>67</v>
      </c>
      <c r="E51" s="3" t="s">
        <v>14</v>
      </c>
    </row>
    <row r="52" spans="1:5" ht="15">
      <c r="A52" s="7" t="s">
        <v>69</v>
      </c>
      <c r="B52" s="3" t="s">
        <v>6</v>
      </c>
      <c r="C52" s="4" t="s">
        <v>12</v>
      </c>
      <c r="D52" s="3" t="s">
        <v>13</v>
      </c>
      <c r="E52" s="3" t="s">
        <v>14</v>
      </c>
    </row>
    <row r="53" spans="1:5" ht="15">
      <c r="A53" s="7" t="s">
        <v>70</v>
      </c>
      <c r="B53" s="3" t="s">
        <v>6</v>
      </c>
      <c r="C53" s="4" t="s">
        <v>12</v>
      </c>
      <c r="D53" s="3" t="s">
        <v>13</v>
      </c>
      <c r="E53" s="3" t="s">
        <v>14</v>
      </c>
    </row>
    <row r="54" spans="1:5" ht="15">
      <c r="A54" s="7" t="s">
        <v>71</v>
      </c>
      <c r="B54" s="3" t="s">
        <v>11</v>
      </c>
      <c r="C54" s="4" t="s">
        <v>12</v>
      </c>
      <c r="D54" s="3" t="s">
        <v>13</v>
      </c>
      <c r="E54" s="3" t="s">
        <v>14</v>
      </c>
    </row>
    <row r="55" spans="1:5" ht="15">
      <c r="A55" s="7" t="s">
        <v>72</v>
      </c>
      <c r="B55" s="3" t="s">
        <v>6</v>
      </c>
      <c r="C55" s="4" t="s">
        <v>12</v>
      </c>
      <c r="D55" s="3" t="s">
        <v>13</v>
      </c>
      <c r="E55" s="3" t="s">
        <v>14</v>
      </c>
    </row>
    <row r="56" spans="1:5" ht="15">
      <c r="A56" s="7" t="s">
        <v>73</v>
      </c>
      <c r="B56" s="3" t="s">
        <v>6</v>
      </c>
      <c r="C56" s="4" t="s">
        <v>12</v>
      </c>
      <c r="D56" s="3" t="s">
        <v>74</v>
      </c>
      <c r="E56" s="3" t="s">
        <v>9</v>
      </c>
    </row>
    <row r="57" spans="1:5" ht="15">
      <c r="A57" s="7" t="s">
        <v>75</v>
      </c>
      <c r="B57" s="3" t="s">
        <v>6</v>
      </c>
      <c r="C57" s="4" t="s">
        <v>12</v>
      </c>
      <c r="D57" s="3" t="s">
        <v>8</v>
      </c>
      <c r="E57" s="3" t="s">
        <v>14</v>
      </c>
    </row>
    <row r="58" spans="1:5" ht="15">
      <c r="A58" s="7" t="s">
        <v>76</v>
      </c>
      <c r="B58" s="3" t="s">
        <v>6</v>
      </c>
      <c r="C58" s="4" t="s">
        <v>12</v>
      </c>
      <c r="D58" s="3" t="s">
        <v>8</v>
      </c>
      <c r="E58" s="3" t="s">
        <v>14</v>
      </c>
    </row>
    <row r="59" spans="1:5" ht="15">
      <c r="A59" s="7" t="s">
        <v>77</v>
      </c>
      <c r="B59" s="3" t="s">
        <v>6</v>
      </c>
      <c r="C59" s="3" t="s">
        <v>12</v>
      </c>
      <c r="D59" s="3"/>
      <c r="E59" s="3" t="s">
        <v>14</v>
      </c>
    </row>
  </sheetData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workbookViewId="0"/>
  </sheetViews>
  <sheetFormatPr baseColWidth="10" defaultColWidth="8.6640625" defaultRowHeight="14"/>
  <cols>
    <col min="1" max="1" width="12.6640625" style="13" customWidth="1"/>
    <col min="2" max="15" width="10.6640625" style="11" customWidth="1"/>
    <col min="16" max="16384" width="8.6640625" style="11"/>
  </cols>
  <sheetData>
    <row r="1" spans="1:15" s="8" customFormat="1" ht="29">
      <c r="A1" s="21" t="s">
        <v>78</v>
      </c>
      <c r="B1" s="22" t="s">
        <v>79</v>
      </c>
      <c r="C1" s="22" t="s">
        <v>80</v>
      </c>
      <c r="D1" s="22" t="s">
        <v>81</v>
      </c>
      <c r="E1" s="22" t="s">
        <v>82</v>
      </c>
      <c r="F1" s="22" t="s">
        <v>83</v>
      </c>
      <c r="G1" s="22" t="s">
        <v>84</v>
      </c>
      <c r="H1" s="22" t="s">
        <v>85</v>
      </c>
      <c r="I1" s="22" t="s">
        <v>86</v>
      </c>
      <c r="J1" s="22" t="s">
        <v>87</v>
      </c>
      <c r="K1" s="22" t="s">
        <v>88</v>
      </c>
      <c r="L1" s="22" t="s">
        <v>89</v>
      </c>
      <c r="M1" s="22" t="s">
        <v>90</v>
      </c>
      <c r="N1" s="22" t="s">
        <v>91</v>
      </c>
      <c r="O1" s="22" t="s">
        <v>92</v>
      </c>
    </row>
    <row r="2" spans="1:15">
      <c r="A2" s="9" t="s">
        <v>5</v>
      </c>
      <c r="B2" s="10">
        <v>69.33</v>
      </c>
      <c r="C2" s="10"/>
      <c r="D2" s="10">
        <v>9.99</v>
      </c>
      <c r="E2" s="10">
        <v>6.32</v>
      </c>
      <c r="F2" s="10">
        <v>0.87</v>
      </c>
      <c r="G2" s="10">
        <v>3.93</v>
      </c>
      <c r="H2" s="10">
        <v>1.74</v>
      </c>
      <c r="I2" s="10">
        <v>3.87</v>
      </c>
      <c r="J2" s="10"/>
      <c r="K2" s="10"/>
      <c r="L2" s="10">
        <v>1.17</v>
      </c>
      <c r="M2" s="10"/>
      <c r="N2" s="10"/>
      <c r="O2" s="10">
        <v>0.39</v>
      </c>
    </row>
    <row r="3" spans="1:15">
      <c r="A3" s="9" t="s">
        <v>10</v>
      </c>
      <c r="B3" s="10">
        <v>36.28</v>
      </c>
      <c r="C3" s="10"/>
      <c r="D3" s="10">
        <v>1.05</v>
      </c>
      <c r="E3" s="10">
        <v>2.34</v>
      </c>
      <c r="F3" s="10">
        <v>1.18</v>
      </c>
      <c r="G3" s="10">
        <v>5.73</v>
      </c>
      <c r="H3" s="10">
        <v>1.86</v>
      </c>
      <c r="I3" s="10">
        <v>0.26</v>
      </c>
      <c r="J3" s="10">
        <v>47.43</v>
      </c>
      <c r="K3" s="10"/>
      <c r="L3" s="10">
        <v>3.57</v>
      </c>
      <c r="M3" s="10">
        <v>0.19</v>
      </c>
      <c r="N3" s="10"/>
      <c r="O3" s="10"/>
    </row>
    <row r="4" spans="1:15" s="8" customFormat="1">
      <c r="A4" s="9" t="s">
        <v>93</v>
      </c>
      <c r="B4" s="10">
        <v>87.05</v>
      </c>
      <c r="C4" s="10"/>
      <c r="D4" s="10">
        <v>5.19</v>
      </c>
      <c r="E4" s="10">
        <v>2.0099999999999998</v>
      </c>
      <c r="F4" s="10"/>
      <c r="G4" s="10">
        <v>4.0599999999999996</v>
      </c>
      <c r="H4" s="10"/>
      <c r="I4" s="10">
        <v>0.78</v>
      </c>
      <c r="J4" s="10">
        <v>0.25</v>
      </c>
      <c r="K4" s="10"/>
      <c r="L4" s="10">
        <v>0.66</v>
      </c>
      <c r="M4" s="10"/>
      <c r="N4" s="10"/>
      <c r="O4" s="10"/>
    </row>
    <row r="5" spans="1:15">
      <c r="A5" s="9" t="s">
        <v>94</v>
      </c>
      <c r="B5" s="10">
        <v>61.71</v>
      </c>
      <c r="C5" s="10"/>
      <c r="D5" s="10">
        <v>12.37</v>
      </c>
      <c r="E5" s="10">
        <v>5.87</v>
      </c>
      <c r="F5" s="10">
        <v>1.1100000000000001</v>
      </c>
      <c r="G5" s="10">
        <v>5.5</v>
      </c>
      <c r="H5" s="10">
        <v>2.16</v>
      </c>
      <c r="I5" s="10">
        <v>5.09</v>
      </c>
      <c r="J5" s="10">
        <v>1.41</v>
      </c>
      <c r="K5" s="10">
        <v>2.86</v>
      </c>
      <c r="L5" s="10">
        <v>0.7</v>
      </c>
      <c r="M5" s="10">
        <v>0.1</v>
      </c>
      <c r="N5" s="10"/>
      <c r="O5" s="10"/>
    </row>
    <row r="6" spans="1:15">
      <c r="A6" s="9" t="s">
        <v>16</v>
      </c>
      <c r="B6" s="10">
        <v>65.88</v>
      </c>
      <c r="C6" s="10"/>
      <c r="D6" s="10">
        <v>9.67</v>
      </c>
      <c r="E6" s="10">
        <v>7.12</v>
      </c>
      <c r="F6" s="10">
        <v>1.56</v>
      </c>
      <c r="G6" s="10">
        <v>6.44</v>
      </c>
      <c r="H6" s="10">
        <v>2.06</v>
      </c>
      <c r="I6" s="10">
        <v>2.1800000000000002</v>
      </c>
      <c r="J6" s="10"/>
      <c r="K6" s="10"/>
      <c r="L6" s="10">
        <v>0.79</v>
      </c>
      <c r="M6" s="10"/>
      <c r="N6" s="10"/>
      <c r="O6" s="10">
        <v>0.36</v>
      </c>
    </row>
    <row r="7" spans="1:15">
      <c r="A7" s="9" t="s">
        <v>17</v>
      </c>
      <c r="B7" s="10">
        <v>61.58</v>
      </c>
      <c r="C7" s="10"/>
      <c r="D7" s="10">
        <v>10.95</v>
      </c>
      <c r="E7" s="10">
        <v>7.35</v>
      </c>
      <c r="F7" s="10">
        <v>1.77</v>
      </c>
      <c r="G7" s="10">
        <v>7.5</v>
      </c>
      <c r="H7" s="10">
        <v>2.62</v>
      </c>
      <c r="I7" s="10">
        <v>3.27</v>
      </c>
      <c r="J7" s="10"/>
      <c r="K7" s="10"/>
      <c r="L7" s="10">
        <v>0.94</v>
      </c>
      <c r="M7" s="10">
        <v>0.06</v>
      </c>
      <c r="N7" s="10"/>
      <c r="O7" s="10">
        <v>0.47</v>
      </c>
    </row>
    <row r="8" spans="1:15">
      <c r="A8" s="9" t="s">
        <v>95</v>
      </c>
      <c r="B8" s="10">
        <v>67.650000000000006</v>
      </c>
      <c r="C8" s="10"/>
      <c r="D8" s="10">
        <v>7.37</v>
      </c>
      <c r="E8" s="10"/>
      <c r="F8" s="10">
        <v>1.98</v>
      </c>
      <c r="G8" s="10">
        <v>11.15</v>
      </c>
      <c r="H8" s="10">
        <v>2.39</v>
      </c>
      <c r="I8" s="10">
        <v>2.5099999999999998</v>
      </c>
      <c r="J8" s="10">
        <v>0.2</v>
      </c>
      <c r="K8" s="10">
        <v>1.38</v>
      </c>
      <c r="L8" s="10">
        <v>4.18</v>
      </c>
      <c r="M8" s="10">
        <v>0.11</v>
      </c>
      <c r="N8" s="10"/>
      <c r="O8" s="10"/>
    </row>
    <row r="9" spans="1:15" s="8" customFormat="1">
      <c r="A9" s="9" t="s">
        <v>96</v>
      </c>
      <c r="B9" s="10">
        <v>59.81</v>
      </c>
      <c r="C9" s="10"/>
      <c r="D9" s="10">
        <v>7.68</v>
      </c>
      <c r="E9" s="10">
        <v>5.41</v>
      </c>
      <c r="F9" s="10">
        <v>1.73</v>
      </c>
      <c r="G9" s="10">
        <v>10.050000000000001</v>
      </c>
      <c r="H9" s="10">
        <v>6.04</v>
      </c>
      <c r="I9" s="10">
        <v>2.1800000000000002</v>
      </c>
      <c r="J9" s="10">
        <v>0.35</v>
      </c>
      <c r="K9" s="10">
        <v>0.97</v>
      </c>
      <c r="L9" s="10">
        <v>4.5</v>
      </c>
      <c r="M9" s="10">
        <v>0.12</v>
      </c>
      <c r="N9" s="10"/>
      <c r="O9" s="10"/>
    </row>
    <row r="10" spans="1:15" s="8" customFormat="1">
      <c r="A10" s="9" t="s">
        <v>19</v>
      </c>
      <c r="B10" s="10">
        <v>92.63</v>
      </c>
      <c r="C10" s="10"/>
      <c r="D10" s="10"/>
      <c r="E10" s="10">
        <v>1.07</v>
      </c>
      <c r="F10" s="10"/>
      <c r="G10" s="10">
        <v>1.98</v>
      </c>
      <c r="H10" s="10">
        <v>0.17</v>
      </c>
      <c r="I10" s="10">
        <v>3.24</v>
      </c>
      <c r="J10" s="10"/>
      <c r="K10" s="10"/>
      <c r="L10" s="10">
        <v>0.61</v>
      </c>
      <c r="M10" s="10"/>
      <c r="N10" s="10"/>
      <c r="O10" s="10"/>
    </row>
    <row r="11" spans="1:15" s="8" customFormat="1">
      <c r="A11" s="9" t="s">
        <v>21</v>
      </c>
      <c r="B11" s="10">
        <v>20.14</v>
      </c>
      <c r="C11" s="10"/>
      <c r="D11" s="10"/>
      <c r="E11" s="10">
        <v>1.48</v>
      </c>
      <c r="F11" s="10"/>
      <c r="G11" s="10">
        <v>1.34</v>
      </c>
      <c r="H11" s="10"/>
      <c r="I11" s="10">
        <v>10.41</v>
      </c>
      <c r="J11" s="10">
        <v>28.68</v>
      </c>
      <c r="K11" s="10">
        <v>31.23</v>
      </c>
      <c r="L11" s="10">
        <v>3.59</v>
      </c>
      <c r="M11" s="10">
        <v>0.37</v>
      </c>
      <c r="N11" s="10"/>
      <c r="O11" s="10">
        <v>2.58</v>
      </c>
    </row>
    <row r="12" spans="1:15">
      <c r="A12" s="9" t="s">
        <v>97</v>
      </c>
      <c r="B12" s="10">
        <v>4.6100000000000003</v>
      </c>
      <c r="C12" s="10"/>
      <c r="D12" s="10"/>
      <c r="E12" s="10">
        <v>3.19</v>
      </c>
      <c r="F12" s="10"/>
      <c r="G12" s="10">
        <v>1.1100000000000001</v>
      </c>
      <c r="H12" s="10"/>
      <c r="I12" s="10">
        <v>3.14</v>
      </c>
      <c r="J12" s="10">
        <v>32.450000000000003</v>
      </c>
      <c r="K12" s="10">
        <v>30.62</v>
      </c>
      <c r="L12" s="10">
        <v>7.56</v>
      </c>
      <c r="M12" s="10">
        <v>0.53</v>
      </c>
      <c r="N12" s="10"/>
      <c r="O12" s="10">
        <v>15.03</v>
      </c>
    </row>
    <row r="13" spans="1:15">
      <c r="A13" s="9" t="s">
        <v>23</v>
      </c>
      <c r="B13" s="10">
        <v>95.02</v>
      </c>
      <c r="C13" s="10"/>
      <c r="D13" s="10">
        <v>0.59</v>
      </c>
      <c r="E13" s="10">
        <v>0.62</v>
      </c>
      <c r="F13" s="10"/>
      <c r="G13" s="10">
        <v>1.32</v>
      </c>
      <c r="H13" s="10">
        <v>0.32</v>
      </c>
      <c r="I13" s="10">
        <v>1.55</v>
      </c>
      <c r="J13" s="10"/>
      <c r="K13" s="10"/>
      <c r="L13" s="10">
        <v>0.35</v>
      </c>
      <c r="M13" s="10"/>
      <c r="N13" s="10"/>
      <c r="O13" s="10"/>
    </row>
    <row r="14" spans="1:15">
      <c r="A14" s="9" t="s">
        <v>24</v>
      </c>
      <c r="B14" s="10">
        <v>96.77</v>
      </c>
      <c r="C14" s="10"/>
      <c r="D14" s="10">
        <v>0.92</v>
      </c>
      <c r="E14" s="10">
        <v>0.21</v>
      </c>
      <c r="F14" s="10"/>
      <c r="G14" s="10">
        <v>0.81</v>
      </c>
      <c r="H14" s="10">
        <v>0.26</v>
      </c>
      <c r="I14" s="10">
        <v>0.84</v>
      </c>
      <c r="J14" s="10"/>
      <c r="K14" s="10"/>
      <c r="L14" s="10"/>
      <c r="M14" s="10"/>
      <c r="N14" s="10"/>
      <c r="O14" s="10"/>
    </row>
    <row r="15" spans="1:15" s="8" customFormat="1">
      <c r="A15" s="9" t="s">
        <v>25</v>
      </c>
      <c r="B15" s="10">
        <v>33.590000000000003</v>
      </c>
      <c r="C15" s="10"/>
      <c r="D15" s="10">
        <v>0.21</v>
      </c>
      <c r="E15" s="10">
        <v>3.51</v>
      </c>
      <c r="F15" s="10">
        <v>0.71</v>
      </c>
      <c r="G15" s="10">
        <v>2.69</v>
      </c>
      <c r="H15" s="10"/>
      <c r="I15" s="10">
        <v>4.93</v>
      </c>
      <c r="J15" s="10">
        <v>25.39</v>
      </c>
      <c r="K15" s="10">
        <v>14.61</v>
      </c>
      <c r="L15" s="10">
        <v>9.3800000000000008</v>
      </c>
      <c r="M15" s="10">
        <v>0.37</v>
      </c>
      <c r="N15" s="10"/>
      <c r="O15" s="10"/>
    </row>
    <row r="16" spans="1:15">
      <c r="A16" s="9" t="s">
        <v>26</v>
      </c>
      <c r="B16" s="10">
        <v>94.29</v>
      </c>
      <c r="C16" s="10"/>
      <c r="D16" s="10">
        <v>1.01</v>
      </c>
      <c r="E16" s="10">
        <v>0.72</v>
      </c>
      <c r="F16" s="10"/>
      <c r="G16" s="10">
        <v>1.46</v>
      </c>
      <c r="H16" s="10">
        <v>0.28999999999999998</v>
      </c>
      <c r="I16" s="10">
        <v>1.65</v>
      </c>
      <c r="J16" s="10"/>
      <c r="K16" s="10"/>
      <c r="L16" s="10">
        <v>0.15</v>
      </c>
      <c r="M16" s="10"/>
      <c r="N16" s="10"/>
      <c r="O16" s="10"/>
    </row>
    <row r="17" spans="1:15" s="8" customFormat="1">
      <c r="A17" s="9" t="s">
        <v>27</v>
      </c>
      <c r="B17" s="10">
        <v>59.01</v>
      </c>
      <c r="C17" s="10">
        <v>2.86</v>
      </c>
      <c r="D17" s="10">
        <v>12.53</v>
      </c>
      <c r="E17" s="10">
        <v>8.6999999999999993</v>
      </c>
      <c r="F17" s="10"/>
      <c r="G17" s="10">
        <v>6.16</v>
      </c>
      <c r="H17" s="10">
        <v>2.88</v>
      </c>
      <c r="I17" s="10">
        <v>4.7300000000000004</v>
      </c>
      <c r="J17" s="10"/>
      <c r="K17" s="10"/>
      <c r="L17" s="10">
        <v>1.27</v>
      </c>
      <c r="M17" s="10"/>
      <c r="N17" s="10"/>
      <c r="O17" s="12"/>
    </row>
    <row r="18" spans="1:15" s="8" customFormat="1">
      <c r="A18" s="9" t="s">
        <v>28</v>
      </c>
      <c r="B18" s="10">
        <v>62.47</v>
      </c>
      <c r="C18" s="10">
        <v>3.38</v>
      </c>
      <c r="D18" s="10">
        <v>12.28</v>
      </c>
      <c r="E18" s="10">
        <v>8.23</v>
      </c>
      <c r="F18" s="10">
        <v>0.66</v>
      </c>
      <c r="G18" s="10">
        <v>9.23</v>
      </c>
      <c r="H18" s="10">
        <v>0.5</v>
      </c>
      <c r="I18" s="10">
        <v>0.47</v>
      </c>
      <c r="J18" s="10">
        <v>1.62</v>
      </c>
      <c r="K18" s="10"/>
      <c r="L18" s="10">
        <v>0.16</v>
      </c>
      <c r="M18" s="10"/>
      <c r="N18" s="10"/>
      <c r="O18" s="12"/>
    </row>
    <row r="19" spans="1:15" s="8" customFormat="1">
      <c r="A19" s="9" t="s">
        <v>30</v>
      </c>
      <c r="B19" s="10">
        <v>61.87</v>
      </c>
      <c r="C19" s="10">
        <v>3.21</v>
      </c>
      <c r="D19" s="10">
        <v>7.44</v>
      </c>
      <c r="E19" s="10"/>
      <c r="F19" s="10">
        <v>1.02</v>
      </c>
      <c r="G19" s="10">
        <v>3.15</v>
      </c>
      <c r="H19" s="10">
        <v>1.04</v>
      </c>
      <c r="I19" s="10">
        <v>1.29</v>
      </c>
      <c r="J19" s="10">
        <v>0.19</v>
      </c>
      <c r="K19" s="10">
        <v>0</v>
      </c>
      <c r="L19" s="10">
        <v>0.26</v>
      </c>
      <c r="M19" s="10"/>
      <c r="N19" s="10"/>
      <c r="O19" s="12"/>
    </row>
    <row r="20" spans="1:15" s="8" customFormat="1">
      <c r="A20" s="9" t="s">
        <v>31</v>
      </c>
      <c r="B20" s="10">
        <v>65.180000000000007</v>
      </c>
      <c r="C20" s="10">
        <v>2.1</v>
      </c>
      <c r="D20" s="10">
        <v>14.52</v>
      </c>
      <c r="E20" s="10">
        <v>8.27</v>
      </c>
      <c r="F20" s="10">
        <v>0.52</v>
      </c>
      <c r="G20" s="10">
        <v>6.18</v>
      </c>
      <c r="H20" s="10">
        <v>0.42</v>
      </c>
      <c r="I20" s="10">
        <v>1.07</v>
      </c>
      <c r="J20" s="10">
        <v>0.11</v>
      </c>
      <c r="K20" s="10">
        <v>0</v>
      </c>
      <c r="L20" s="10"/>
      <c r="M20" s="10">
        <v>0.04</v>
      </c>
      <c r="N20" s="10"/>
      <c r="O20" s="12"/>
    </row>
    <row r="21" spans="1:15" s="8" customFormat="1">
      <c r="A21" s="9" t="s">
        <v>32</v>
      </c>
      <c r="B21" s="10">
        <v>60.71</v>
      </c>
      <c r="C21" s="10">
        <v>2.12</v>
      </c>
      <c r="D21" s="10">
        <v>5.71</v>
      </c>
      <c r="E21" s="10"/>
      <c r="F21" s="10">
        <v>0.85</v>
      </c>
      <c r="G21" s="10"/>
      <c r="H21" s="10">
        <v>1.04</v>
      </c>
      <c r="I21" s="10">
        <v>1.0900000000000001</v>
      </c>
      <c r="J21" s="10">
        <v>0.19</v>
      </c>
      <c r="K21" s="10">
        <v>0</v>
      </c>
      <c r="L21" s="10">
        <v>0.18</v>
      </c>
      <c r="M21" s="10"/>
      <c r="N21" s="10">
        <v>0</v>
      </c>
      <c r="O21" s="12"/>
    </row>
    <row r="22" spans="1:15" s="8" customFormat="1">
      <c r="A22" s="9" t="s">
        <v>33</v>
      </c>
      <c r="B22" s="10">
        <v>79.459999999999994</v>
      </c>
      <c r="C22" s="10"/>
      <c r="D22" s="10">
        <v>9.42</v>
      </c>
      <c r="E22" s="10"/>
      <c r="F22" s="10">
        <v>1.53</v>
      </c>
      <c r="G22" s="10">
        <v>3.05</v>
      </c>
      <c r="H22" s="10"/>
      <c r="I22" s="10"/>
      <c r="J22" s="10"/>
      <c r="K22" s="10"/>
      <c r="L22" s="10">
        <v>1.36</v>
      </c>
      <c r="M22" s="10">
        <v>7.0000000000000007E-2</v>
      </c>
      <c r="N22" s="10">
        <v>2.36</v>
      </c>
      <c r="O22" s="12"/>
    </row>
    <row r="23" spans="1:15" s="8" customFormat="1">
      <c r="A23" s="9" t="s">
        <v>35</v>
      </c>
      <c r="B23" s="10">
        <v>29.64</v>
      </c>
      <c r="C23" s="10"/>
      <c r="D23" s="10"/>
      <c r="E23" s="10">
        <v>2.93</v>
      </c>
      <c r="F23" s="10">
        <v>0.59</v>
      </c>
      <c r="G23" s="10">
        <v>3.57</v>
      </c>
      <c r="H23" s="10">
        <v>1.33</v>
      </c>
      <c r="I23" s="10">
        <v>3.51</v>
      </c>
      <c r="J23" s="10">
        <v>42.82</v>
      </c>
      <c r="K23" s="10">
        <v>5.35</v>
      </c>
      <c r="L23" s="10">
        <v>8.83</v>
      </c>
      <c r="M23" s="10">
        <v>0.19</v>
      </c>
      <c r="N23" s="10"/>
      <c r="O23" s="10"/>
    </row>
    <row r="24" spans="1:15" s="8" customFormat="1">
      <c r="A24" s="9" t="s">
        <v>36</v>
      </c>
      <c r="B24" s="10">
        <v>37.36</v>
      </c>
      <c r="C24" s="10"/>
      <c r="D24" s="10">
        <v>0.71</v>
      </c>
      <c r="E24" s="10"/>
      <c r="F24" s="10"/>
      <c r="G24" s="10">
        <v>5.45</v>
      </c>
      <c r="H24" s="10">
        <v>1.51</v>
      </c>
      <c r="I24" s="10">
        <v>4.78</v>
      </c>
      <c r="J24" s="10">
        <v>9.3000000000000007</v>
      </c>
      <c r="K24" s="10">
        <v>23.55</v>
      </c>
      <c r="L24" s="10">
        <v>5.75</v>
      </c>
      <c r="M24" s="10"/>
      <c r="N24" s="10"/>
      <c r="O24" s="10"/>
    </row>
    <row r="25" spans="1:15" s="8" customFormat="1">
      <c r="A25" s="9" t="s">
        <v>37</v>
      </c>
      <c r="B25" s="10">
        <v>76.680000000000007</v>
      </c>
      <c r="C25" s="10"/>
      <c r="D25" s="10"/>
      <c r="E25" s="10">
        <v>4.71</v>
      </c>
      <c r="F25" s="10">
        <v>1.22</v>
      </c>
      <c r="G25" s="10">
        <v>6.19</v>
      </c>
      <c r="H25" s="10">
        <v>2.37</v>
      </c>
      <c r="I25" s="10">
        <v>3.28</v>
      </c>
      <c r="J25" s="10">
        <v>1</v>
      </c>
      <c r="K25" s="10">
        <v>1.97</v>
      </c>
      <c r="L25" s="10">
        <v>1.1000000000000001</v>
      </c>
      <c r="M25" s="10"/>
      <c r="N25" s="10"/>
      <c r="O25" s="10"/>
    </row>
    <row r="26" spans="1:15" s="8" customFormat="1">
      <c r="A26" s="9" t="s">
        <v>38</v>
      </c>
      <c r="B26" s="10">
        <v>92.35</v>
      </c>
      <c r="C26" s="10"/>
      <c r="D26" s="10">
        <v>0.74</v>
      </c>
      <c r="E26" s="10">
        <v>1.66</v>
      </c>
      <c r="F26" s="10">
        <v>0.64</v>
      </c>
      <c r="G26" s="10">
        <v>3.5</v>
      </c>
      <c r="H26" s="10">
        <v>0.35</v>
      </c>
      <c r="I26" s="10">
        <v>0.55000000000000004</v>
      </c>
      <c r="J26" s="10"/>
      <c r="K26" s="10"/>
      <c r="L26" s="10">
        <v>0.21</v>
      </c>
      <c r="M26" s="10"/>
      <c r="N26" s="10"/>
      <c r="O26" s="10"/>
    </row>
    <row r="27" spans="1:15" s="8" customFormat="1">
      <c r="A27" s="9" t="s">
        <v>98</v>
      </c>
      <c r="B27" s="10">
        <v>53.79</v>
      </c>
      <c r="C27" s="10">
        <v>7.92</v>
      </c>
      <c r="D27" s="10"/>
      <c r="E27" s="10">
        <v>0.5</v>
      </c>
      <c r="F27" s="10">
        <v>0.71</v>
      </c>
      <c r="G27" s="10">
        <v>1.42</v>
      </c>
      <c r="H27" s="10"/>
      <c r="I27" s="10">
        <v>2.99</v>
      </c>
      <c r="J27" s="10">
        <v>16.98</v>
      </c>
      <c r="K27" s="10">
        <v>11.86</v>
      </c>
      <c r="L27" s="10"/>
      <c r="M27" s="10">
        <v>0.33</v>
      </c>
      <c r="N27" s="10"/>
      <c r="O27" s="12"/>
    </row>
    <row r="28" spans="1:15" s="8" customFormat="1">
      <c r="A28" s="9" t="s">
        <v>40</v>
      </c>
      <c r="B28" s="10">
        <v>31.94</v>
      </c>
      <c r="C28" s="10"/>
      <c r="D28" s="10"/>
      <c r="E28" s="10">
        <v>0.47</v>
      </c>
      <c r="F28" s="10"/>
      <c r="G28" s="10">
        <v>1.59</v>
      </c>
      <c r="H28" s="10"/>
      <c r="I28" s="10">
        <v>8.4600000000000009</v>
      </c>
      <c r="J28" s="10">
        <v>29.14</v>
      </c>
      <c r="K28" s="10">
        <v>26.23</v>
      </c>
      <c r="L28" s="10">
        <v>0.14000000000000001</v>
      </c>
      <c r="M28" s="10">
        <v>0.91</v>
      </c>
      <c r="N28" s="10"/>
      <c r="O28" s="10"/>
    </row>
    <row r="29" spans="1:15" s="8" customFormat="1">
      <c r="A29" s="9" t="s">
        <v>99</v>
      </c>
      <c r="B29" s="10">
        <v>50.61</v>
      </c>
      <c r="C29" s="10">
        <v>2.31</v>
      </c>
      <c r="D29" s="10"/>
      <c r="E29" s="10">
        <v>0.63</v>
      </c>
      <c r="F29" s="10"/>
      <c r="G29" s="10">
        <v>1.9</v>
      </c>
      <c r="H29" s="10">
        <v>1.55</v>
      </c>
      <c r="I29" s="10">
        <v>1.1200000000000001</v>
      </c>
      <c r="J29" s="10">
        <v>31.9</v>
      </c>
      <c r="K29" s="10">
        <v>6.65</v>
      </c>
      <c r="L29" s="10">
        <v>0.19</v>
      </c>
      <c r="M29" s="10">
        <v>0.2</v>
      </c>
      <c r="N29" s="10"/>
      <c r="O29" s="12"/>
    </row>
    <row r="30" spans="1:15" s="8" customFormat="1">
      <c r="A30" s="9" t="s">
        <v>42</v>
      </c>
      <c r="B30" s="10">
        <v>19.79</v>
      </c>
      <c r="C30" s="10"/>
      <c r="D30" s="10"/>
      <c r="E30" s="10">
        <v>1.44</v>
      </c>
      <c r="F30" s="10"/>
      <c r="G30" s="10">
        <v>0.7</v>
      </c>
      <c r="H30" s="10"/>
      <c r="I30" s="10">
        <v>10.57</v>
      </c>
      <c r="J30" s="10">
        <v>29.53</v>
      </c>
      <c r="K30" s="10">
        <v>32.25</v>
      </c>
      <c r="L30" s="10">
        <v>3.13</v>
      </c>
      <c r="M30" s="10">
        <v>0.45</v>
      </c>
      <c r="N30" s="10"/>
      <c r="O30" s="10">
        <v>1.96</v>
      </c>
    </row>
    <row r="31" spans="1:15" s="8" customFormat="1">
      <c r="A31" s="9" t="s">
        <v>100</v>
      </c>
      <c r="B31" s="10">
        <v>3.72</v>
      </c>
      <c r="C31" s="10"/>
      <c r="D31" s="10">
        <v>0.4</v>
      </c>
      <c r="E31" s="10">
        <v>3.01</v>
      </c>
      <c r="F31" s="10"/>
      <c r="G31" s="10">
        <v>1.18</v>
      </c>
      <c r="H31" s="10"/>
      <c r="I31" s="10">
        <v>3.6</v>
      </c>
      <c r="J31" s="10">
        <v>29.92</v>
      </c>
      <c r="K31" s="10">
        <v>35.450000000000003</v>
      </c>
      <c r="L31" s="10">
        <v>6.04</v>
      </c>
      <c r="M31" s="10">
        <v>0.62</v>
      </c>
      <c r="N31" s="10"/>
      <c r="O31" s="10">
        <v>15.95</v>
      </c>
    </row>
    <row r="32" spans="1:15" s="8" customFormat="1">
      <c r="A32" s="9" t="s">
        <v>43</v>
      </c>
      <c r="B32" s="10">
        <v>92.72</v>
      </c>
      <c r="C32" s="10"/>
      <c r="D32" s="10"/>
      <c r="E32" s="10">
        <v>0.94</v>
      </c>
      <c r="F32" s="10">
        <v>0.54</v>
      </c>
      <c r="G32" s="10">
        <v>2.5099999999999998</v>
      </c>
      <c r="H32" s="10">
        <v>0.2</v>
      </c>
      <c r="I32" s="10">
        <v>1.54</v>
      </c>
      <c r="J32" s="10"/>
      <c r="K32" s="10"/>
      <c r="L32" s="10">
        <v>0.36</v>
      </c>
      <c r="M32" s="10"/>
      <c r="N32" s="10"/>
      <c r="O32" s="10"/>
    </row>
    <row r="33" spans="1:15" s="8" customFormat="1">
      <c r="A33" s="9" t="s">
        <v>101</v>
      </c>
      <c r="B33" s="10">
        <v>68.08</v>
      </c>
      <c r="C33" s="10"/>
      <c r="D33" s="10">
        <v>0.26</v>
      </c>
      <c r="E33" s="10">
        <v>1.34</v>
      </c>
      <c r="F33" s="10">
        <v>1</v>
      </c>
      <c r="G33" s="10">
        <v>4.7</v>
      </c>
      <c r="H33" s="10">
        <v>0.41</v>
      </c>
      <c r="I33" s="10">
        <v>0.33</v>
      </c>
      <c r="J33" s="10">
        <v>17.14</v>
      </c>
      <c r="K33" s="10">
        <v>4.04</v>
      </c>
      <c r="L33" s="10">
        <v>1.04</v>
      </c>
      <c r="M33" s="10">
        <v>0.12</v>
      </c>
      <c r="N33" s="10">
        <v>0.23</v>
      </c>
      <c r="O33" s="12"/>
    </row>
    <row r="34" spans="1:15" s="8" customFormat="1">
      <c r="A34" s="9" t="s">
        <v>102</v>
      </c>
      <c r="B34" s="10">
        <v>63.3</v>
      </c>
      <c r="C34" s="10">
        <v>0.92</v>
      </c>
      <c r="D34" s="10">
        <v>0.3</v>
      </c>
      <c r="E34" s="10">
        <v>2.98</v>
      </c>
      <c r="F34" s="10">
        <v>1.49</v>
      </c>
      <c r="G34" s="10">
        <v>14.34</v>
      </c>
      <c r="H34" s="10">
        <v>0.81</v>
      </c>
      <c r="I34" s="10">
        <v>0.74</v>
      </c>
      <c r="J34" s="10">
        <v>12.31</v>
      </c>
      <c r="K34" s="10">
        <v>2.0299999999999998</v>
      </c>
      <c r="L34" s="10">
        <v>0.41</v>
      </c>
      <c r="M34" s="10">
        <v>0.25</v>
      </c>
      <c r="N34" s="10"/>
      <c r="O34" s="12"/>
    </row>
    <row r="35" spans="1:15" s="8" customFormat="1">
      <c r="A35" s="9" t="s">
        <v>103</v>
      </c>
      <c r="B35" s="10">
        <v>34.340000000000003</v>
      </c>
      <c r="C35" s="10"/>
      <c r="D35" s="10">
        <v>1.41</v>
      </c>
      <c r="E35" s="10">
        <v>4.49</v>
      </c>
      <c r="F35" s="10">
        <v>0.98</v>
      </c>
      <c r="G35" s="10">
        <v>4.3499999999999996</v>
      </c>
      <c r="H35" s="10">
        <v>2.12</v>
      </c>
      <c r="I35" s="10"/>
      <c r="J35" s="10">
        <v>39.22</v>
      </c>
      <c r="K35" s="10">
        <v>10.29</v>
      </c>
      <c r="L35" s="10"/>
      <c r="M35" s="10">
        <v>0.35</v>
      </c>
      <c r="N35" s="10">
        <v>0.4</v>
      </c>
      <c r="O35" s="12"/>
    </row>
    <row r="36" spans="1:15" s="8" customFormat="1">
      <c r="A36" s="9" t="s">
        <v>104</v>
      </c>
      <c r="B36" s="10">
        <v>36.93</v>
      </c>
      <c r="C36" s="10"/>
      <c r="D36" s="10"/>
      <c r="E36" s="10">
        <v>4.24</v>
      </c>
      <c r="F36" s="10">
        <v>0.51</v>
      </c>
      <c r="G36" s="10">
        <v>3.86</v>
      </c>
      <c r="H36" s="10">
        <v>2.74</v>
      </c>
      <c r="I36" s="10"/>
      <c r="J36" s="10">
        <v>37.74</v>
      </c>
      <c r="K36" s="10">
        <v>10.35</v>
      </c>
      <c r="L36" s="10">
        <v>1.41</v>
      </c>
      <c r="M36" s="10">
        <v>0.48</v>
      </c>
      <c r="N36" s="10">
        <v>0.44</v>
      </c>
      <c r="O36" s="12"/>
    </row>
    <row r="37" spans="1:15" s="8" customFormat="1">
      <c r="A37" s="9" t="s">
        <v>47</v>
      </c>
      <c r="B37" s="10">
        <v>65.91</v>
      </c>
      <c r="C37" s="10"/>
      <c r="D37" s="10"/>
      <c r="E37" s="10">
        <v>1.6</v>
      </c>
      <c r="F37" s="10">
        <v>0.89</v>
      </c>
      <c r="G37" s="10">
        <v>3.11</v>
      </c>
      <c r="H37" s="10">
        <v>4.59</v>
      </c>
      <c r="I37" s="10">
        <v>0.44</v>
      </c>
      <c r="J37" s="10">
        <v>16.55</v>
      </c>
      <c r="K37" s="10">
        <v>3.42</v>
      </c>
      <c r="L37" s="10">
        <v>1.62</v>
      </c>
      <c r="M37" s="10">
        <v>0.3</v>
      </c>
      <c r="N37" s="10"/>
      <c r="O37" s="10"/>
    </row>
    <row r="38" spans="1:15" s="8" customFormat="1">
      <c r="A38" s="9" t="s">
        <v>48</v>
      </c>
      <c r="B38" s="10">
        <v>69.709999999999994</v>
      </c>
      <c r="C38" s="10"/>
      <c r="D38" s="10">
        <v>0.21</v>
      </c>
      <c r="E38" s="10">
        <v>0.46</v>
      </c>
      <c r="F38" s="10"/>
      <c r="G38" s="10">
        <v>2.36</v>
      </c>
      <c r="H38" s="10">
        <v>1</v>
      </c>
      <c r="I38" s="10">
        <v>0.11</v>
      </c>
      <c r="J38" s="10">
        <v>19.760000000000002</v>
      </c>
      <c r="K38" s="10">
        <v>4.88</v>
      </c>
      <c r="L38" s="10">
        <v>0.17</v>
      </c>
      <c r="M38" s="10"/>
      <c r="N38" s="10"/>
      <c r="O38" s="12"/>
    </row>
    <row r="39" spans="1:15" s="8" customFormat="1">
      <c r="A39" s="9" t="s">
        <v>50</v>
      </c>
      <c r="B39" s="10">
        <v>75.510000000000005</v>
      </c>
      <c r="C39" s="10"/>
      <c r="D39" s="10">
        <v>0.15</v>
      </c>
      <c r="E39" s="10">
        <v>0.64</v>
      </c>
      <c r="F39" s="10">
        <v>1</v>
      </c>
      <c r="G39" s="10">
        <v>2.35</v>
      </c>
      <c r="H39" s="10"/>
      <c r="I39" s="10">
        <v>0.47</v>
      </c>
      <c r="J39" s="10">
        <v>16.16</v>
      </c>
      <c r="K39" s="10">
        <v>3.55</v>
      </c>
      <c r="L39" s="10">
        <v>0.13</v>
      </c>
      <c r="M39" s="10"/>
      <c r="N39" s="10"/>
      <c r="O39" s="12"/>
    </row>
    <row r="40" spans="1:15" s="8" customFormat="1">
      <c r="A40" s="9" t="s">
        <v>51</v>
      </c>
      <c r="B40" s="10">
        <v>35.78</v>
      </c>
      <c r="C40" s="10"/>
      <c r="D40" s="10">
        <v>0.25</v>
      </c>
      <c r="E40" s="10">
        <v>0.78</v>
      </c>
      <c r="F40" s="10"/>
      <c r="G40" s="10">
        <v>1.62</v>
      </c>
      <c r="H40" s="10">
        <v>0.47</v>
      </c>
      <c r="I40" s="10">
        <v>1.51</v>
      </c>
      <c r="J40" s="10">
        <v>46.55</v>
      </c>
      <c r="K40" s="10">
        <v>10</v>
      </c>
      <c r="L40" s="10">
        <v>0.34</v>
      </c>
      <c r="M40" s="10">
        <v>0.22</v>
      </c>
      <c r="N40" s="10"/>
      <c r="O40" s="12"/>
    </row>
    <row r="41" spans="1:15" s="8" customFormat="1">
      <c r="A41" s="9" t="s">
        <v>52</v>
      </c>
      <c r="B41" s="10">
        <v>65.91</v>
      </c>
      <c r="C41" s="10"/>
      <c r="D41" s="10"/>
      <c r="E41" s="10">
        <v>0.38</v>
      </c>
      <c r="F41" s="10"/>
      <c r="G41" s="10">
        <v>1.44</v>
      </c>
      <c r="H41" s="10">
        <v>0.17</v>
      </c>
      <c r="I41" s="10">
        <v>0.16</v>
      </c>
      <c r="J41" s="10">
        <v>22.05</v>
      </c>
      <c r="K41" s="10">
        <v>5.68</v>
      </c>
      <c r="L41" s="10">
        <v>0.42</v>
      </c>
      <c r="M41" s="10"/>
      <c r="N41" s="10"/>
      <c r="O41" s="12"/>
    </row>
    <row r="42" spans="1:15">
      <c r="A42" s="9" t="s">
        <v>53</v>
      </c>
      <c r="B42" s="10">
        <v>39.57</v>
      </c>
      <c r="C42" s="10">
        <v>2.2200000000000002</v>
      </c>
      <c r="D42" s="10">
        <v>0.14000000000000001</v>
      </c>
      <c r="E42" s="10">
        <v>0.37</v>
      </c>
      <c r="F42" s="10"/>
      <c r="G42" s="10">
        <v>1.6</v>
      </c>
      <c r="H42" s="10">
        <v>0.32</v>
      </c>
      <c r="I42" s="10">
        <v>0.68</v>
      </c>
      <c r="J42" s="10">
        <v>41.61</v>
      </c>
      <c r="K42" s="10">
        <v>10.83</v>
      </c>
      <c r="L42" s="10">
        <v>7.0000000000000007E-2</v>
      </c>
      <c r="M42" s="10">
        <v>0.22</v>
      </c>
      <c r="N42" s="10"/>
      <c r="O42" s="12"/>
    </row>
    <row r="43" spans="1:15">
      <c r="A43" s="9" t="s">
        <v>54</v>
      </c>
      <c r="B43" s="10">
        <v>60.12</v>
      </c>
      <c r="C43" s="10"/>
      <c r="D43" s="10">
        <v>0.23</v>
      </c>
      <c r="E43" s="10">
        <v>0.89</v>
      </c>
      <c r="F43" s="10"/>
      <c r="G43" s="10">
        <v>2.72</v>
      </c>
      <c r="H43" s="10"/>
      <c r="I43" s="10">
        <v>3.01</v>
      </c>
      <c r="J43" s="10">
        <v>17.239999999999998</v>
      </c>
      <c r="K43" s="10">
        <v>10.34</v>
      </c>
      <c r="L43" s="10">
        <v>1.46</v>
      </c>
      <c r="M43" s="10">
        <v>0.31</v>
      </c>
      <c r="N43" s="10"/>
      <c r="O43" s="10">
        <v>3.66</v>
      </c>
    </row>
    <row r="44" spans="1:15">
      <c r="A44" s="9" t="s">
        <v>55</v>
      </c>
      <c r="B44" s="10">
        <v>32.93</v>
      </c>
      <c r="C44" s="10">
        <v>1.38</v>
      </c>
      <c r="D44" s="10"/>
      <c r="E44" s="10">
        <v>0.68</v>
      </c>
      <c r="F44" s="10"/>
      <c r="G44" s="10">
        <v>2.57</v>
      </c>
      <c r="H44" s="10">
        <v>0.28999999999999998</v>
      </c>
      <c r="I44" s="10">
        <v>0.73</v>
      </c>
      <c r="J44" s="10">
        <v>49.31</v>
      </c>
      <c r="K44" s="10">
        <v>9.7899999999999991</v>
      </c>
      <c r="L44" s="10">
        <v>0.48</v>
      </c>
      <c r="M44" s="10">
        <v>0.41</v>
      </c>
      <c r="N44" s="10"/>
      <c r="O44" s="12"/>
    </row>
    <row r="45" spans="1:15">
      <c r="A45" s="9" t="s">
        <v>56</v>
      </c>
      <c r="B45" s="10">
        <v>26.25</v>
      </c>
      <c r="C45" s="10"/>
      <c r="D45" s="10"/>
      <c r="E45" s="10">
        <v>1.1100000000000001</v>
      </c>
      <c r="F45" s="10"/>
      <c r="G45" s="10">
        <v>0.5</v>
      </c>
      <c r="H45" s="10"/>
      <c r="I45" s="10">
        <v>0.88</v>
      </c>
      <c r="J45" s="10">
        <v>61.03</v>
      </c>
      <c r="K45" s="10">
        <v>7.22</v>
      </c>
      <c r="L45" s="10">
        <v>1.1599999999999999</v>
      </c>
      <c r="M45" s="10">
        <v>0.61</v>
      </c>
      <c r="N45" s="10"/>
      <c r="O45" s="12"/>
    </row>
    <row r="46" spans="1:15">
      <c r="A46" s="9" t="s">
        <v>57</v>
      </c>
      <c r="B46" s="10">
        <v>16.71</v>
      </c>
      <c r="C46" s="10"/>
      <c r="D46" s="10"/>
      <c r="E46" s="10">
        <v>1.87</v>
      </c>
      <c r="F46" s="10"/>
      <c r="G46" s="10">
        <v>0.45</v>
      </c>
      <c r="H46" s="10">
        <v>0.19</v>
      </c>
      <c r="I46" s="10"/>
      <c r="J46" s="10">
        <v>70.209999999999994</v>
      </c>
      <c r="K46" s="10">
        <v>6.69</v>
      </c>
      <c r="L46" s="10">
        <v>1.77</v>
      </c>
      <c r="M46" s="10">
        <v>0.68</v>
      </c>
      <c r="N46" s="10"/>
      <c r="O46" s="12"/>
    </row>
    <row r="47" spans="1:15">
      <c r="A47" s="9" t="s">
        <v>58</v>
      </c>
      <c r="B47" s="10">
        <v>18.46</v>
      </c>
      <c r="C47" s="10"/>
      <c r="D47" s="10">
        <v>0.44</v>
      </c>
      <c r="E47" s="10">
        <v>4.96</v>
      </c>
      <c r="F47" s="10">
        <v>2.73</v>
      </c>
      <c r="G47" s="10">
        <v>3.33</v>
      </c>
      <c r="H47" s="10">
        <v>1.79</v>
      </c>
      <c r="I47" s="10">
        <v>0.19</v>
      </c>
      <c r="J47" s="10">
        <v>44.12</v>
      </c>
      <c r="K47" s="10">
        <v>9.76</v>
      </c>
      <c r="L47" s="10">
        <v>7.46</v>
      </c>
      <c r="M47" s="10">
        <v>0.47</v>
      </c>
      <c r="N47" s="10"/>
      <c r="O47" s="12"/>
    </row>
    <row r="48" spans="1:15">
      <c r="A48" s="9" t="s">
        <v>105</v>
      </c>
      <c r="B48" s="10">
        <v>51.26</v>
      </c>
      <c r="C48" s="10">
        <v>5.74</v>
      </c>
      <c r="D48" s="10">
        <v>0.15</v>
      </c>
      <c r="E48" s="10">
        <v>0.79</v>
      </c>
      <c r="F48" s="10">
        <v>1.0900000000000001</v>
      </c>
      <c r="G48" s="10">
        <v>3.53</v>
      </c>
      <c r="H48" s="10"/>
      <c r="I48" s="10">
        <v>2.67</v>
      </c>
      <c r="J48" s="10">
        <v>21.88</v>
      </c>
      <c r="K48" s="10">
        <v>10.47</v>
      </c>
      <c r="L48" s="10">
        <v>0.08</v>
      </c>
      <c r="M48" s="10">
        <v>0.35</v>
      </c>
      <c r="N48" s="10"/>
      <c r="O48" s="12"/>
    </row>
    <row r="49" spans="1:15">
      <c r="A49" s="9" t="s">
        <v>106</v>
      </c>
      <c r="B49" s="10">
        <v>51.33</v>
      </c>
      <c r="C49" s="10">
        <v>5.68</v>
      </c>
      <c r="D49" s="10">
        <v>0.35</v>
      </c>
      <c r="E49" s="10"/>
      <c r="F49" s="10">
        <v>1.1599999999999999</v>
      </c>
      <c r="G49" s="10">
        <v>5.66</v>
      </c>
      <c r="H49" s="10"/>
      <c r="I49" s="10">
        <v>2.72</v>
      </c>
      <c r="J49" s="10">
        <v>20.12</v>
      </c>
      <c r="K49" s="10">
        <v>10.88</v>
      </c>
      <c r="L49" s="10"/>
      <c r="M49" s="10"/>
      <c r="N49" s="10"/>
      <c r="O49" s="12"/>
    </row>
    <row r="50" spans="1:15">
      <c r="A50" s="9" t="s">
        <v>107</v>
      </c>
      <c r="B50" s="10">
        <v>12.41</v>
      </c>
      <c r="C50" s="10"/>
      <c r="D50" s="10"/>
      <c r="E50" s="10">
        <v>5.24</v>
      </c>
      <c r="F50" s="10">
        <v>0.89</v>
      </c>
      <c r="G50" s="10">
        <v>2.25</v>
      </c>
      <c r="H50" s="10">
        <v>0.76</v>
      </c>
      <c r="I50" s="10">
        <v>5.35</v>
      </c>
      <c r="J50" s="10">
        <v>59.85</v>
      </c>
      <c r="K50" s="10">
        <v>7.29</v>
      </c>
      <c r="L50" s="10"/>
      <c r="M50" s="10">
        <v>0.64</v>
      </c>
      <c r="N50" s="10"/>
      <c r="O50" s="12"/>
    </row>
    <row r="51" spans="1:15" ht="18" customHeight="1">
      <c r="A51" s="9" t="s">
        <v>108</v>
      </c>
      <c r="B51" s="10">
        <v>21.7</v>
      </c>
      <c r="C51" s="10"/>
      <c r="D51" s="10"/>
      <c r="E51" s="10">
        <v>6.4</v>
      </c>
      <c r="F51" s="10">
        <v>0.95</v>
      </c>
      <c r="G51" s="10">
        <v>3.41</v>
      </c>
      <c r="H51" s="10">
        <v>1.39</v>
      </c>
      <c r="I51" s="10">
        <v>1.51</v>
      </c>
      <c r="J51" s="10">
        <v>44.75</v>
      </c>
      <c r="K51" s="10">
        <v>3.26</v>
      </c>
      <c r="L51" s="10">
        <v>12.83</v>
      </c>
      <c r="M51" s="10">
        <v>0.47</v>
      </c>
      <c r="N51" s="10"/>
      <c r="O51" s="12"/>
    </row>
    <row r="52" spans="1:15">
      <c r="A52" s="9" t="s">
        <v>109</v>
      </c>
      <c r="B52" s="10">
        <v>60.74</v>
      </c>
      <c r="C52" s="10">
        <v>3.06</v>
      </c>
      <c r="D52" s="10">
        <v>0.2</v>
      </c>
      <c r="E52" s="10">
        <v>2.14</v>
      </c>
      <c r="F52" s="10"/>
      <c r="G52" s="10">
        <v>12.69</v>
      </c>
      <c r="H52" s="10">
        <v>0.77</v>
      </c>
      <c r="I52" s="10">
        <v>0.43</v>
      </c>
      <c r="J52" s="10">
        <v>13.61</v>
      </c>
      <c r="K52" s="10">
        <v>5.22</v>
      </c>
      <c r="L52" s="10"/>
      <c r="M52" s="10">
        <v>0.26</v>
      </c>
      <c r="N52" s="10"/>
      <c r="O52" s="12"/>
    </row>
    <row r="53" spans="1:15">
      <c r="A53" s="9" t="s">
        <v>62</v>
      </c>
      <c r="B53" s="10">
        <v>61.28</v>
      </c>
      <c r="C53" s="10">
        <v>2.66</v>
      </c>
      <c r="D53" s="10">
        <v>0.11</v>
      </c>
      <c r="E53" s="10">
        <v>0.84</v>
      </c>
      <c r="F53" s="10">
        <v>0.74</v>
      </c>
      <c r="G53" s="10">
        <v>5</v>
      </c>
      <c r="H53" s="10"/>
      <c r="I53" s="10">
        <v>0.53</v>
      </c>
      <c r="J53" s="10">
        <v>15.99</v>
      </c>
      <c r="K53" s="10">
        <v>10.96</v>
      </c>
      <c r="L53" s="10"/>
      <c r="M53" s="10">
        <v>0.23</v>
      </c>
      <c r="N53" s="10"/>
      <c r="O53" s="12"/>
    </row>
    <row r="54" spans="1:15">
      <c r="A54" s="9" t="s">
        <v>63</v>
      </c>
      <c r="B54" s="10">
        <v>55.21</v>
      </c>
      <c r="C54" s="10"/>
      <c r="D54" s="10">
        <v>0.25</v>
      </c>
      <c r="E54" s="10"/>
      <c r="F54" s="10">
        <v>1.67</v>
      </c>
      <c r="G54" s="10">
        <v>4.79</v>
      </c>
      <c r="H54" s="10"/>
      <c r="I54" s="10">
        <v>0.77</v>
      </c>
      <c r="J54" s="10">
        <v>25.25</v>
      </c>
      <c r="K54" s="10">
        <v>10.06</v>
      </c>
      <c r="L54" s="10">
        <v>0.2</v>
      </c>
      <c r="M54" s="10">
        <v>0.43</v>
      </c>
      <c r="N54" s="10"/>
      <c r="O54" s="12"/>
    </row>
    <row r="55" spans="1:15">
      <c r="A55" s="9" t="s">
        <v>64</v>
      </c>
      <c r="B55" s="10">
        <v>51.54</v>
      </c>
      <c r="C55" s="10">
        <v>4.66</v>
      </c>
      <c r="D55" s="10">
        <v>0.28999999999999998</v>
      </c>
      <c r="E55" s="10">
        <v>0.87</v>
      </c>
      <c r="F55" s="10">
        <v>0.61</v>
      </c>
      <c r="G55" s="10">
        <v>3.06</v>
      </c>
      <c r="H55" s="10"/>
      <c r="I55" s="10">
        <v>0.65</v>
      </c>
      <c r="J55" s="10">
        <v>25.4</v>
      </c>
      <c r="K55" s="10">
        <v>9.23</v>
      </c>
      <c r="L55" s="10">
        <v>0.1</v>
      </c>
      <c r="M55" s="10">
        <v>0.85</v>
      </c>
      <c r="N55" s="10"/>
      <c r="O55" s="12"/>
    </row>
    <row r="56" spans="1:15">
      <c r="A56" s="9" t="s">
        <v>65</v>
      </c>
      <c r="B56" s="10">
        <v>53.33</v>
      </c>
      <c r="C56" s="10">
        <v>0.8</v>
      </c>
      <c r="D56" s="10">
        <v>0.32</v>
      </c>
      <c r="E56" s="10">
        <v>2.82</v>
      </c>
      <c r="F56" s="10">
        <v>1.54</v>
      </c>
      <c r="G56" s="10">
        <v>13.65</v>
      </c>
      <c r="H56" s="10">
        <v>1.03</v>
      </c>
      <c r="I56" s="10"/>
      <c r="J56" s="10">
        <v>15.71</v>
      </c>
      <c r="K56" s="10">
        <v>7.31</v>
      </c>
      <c r="L56" s="10">
        <v>1.1000000000000001</v>
      </c>
      <c r="M56" s="10">
        <v>0.25</v>
      </c>
      <c r="N56" s="10">
        <v>1.31</v>
      </c>
      <c r="O56" s="12"/>
    </row>
    <row r="57" spans="1:15">
      <c r="A57" s="9" t="s">
        <v>66</v>
      </c>
      <c r="B57" s="10">
        <v>28.79</v>
      </c>
      <c r="C57" s="10"/>
      <c r="D57" s="10"/>
      <c r="E57" s="10">
        <v>4.58</v>
      </c>
      <c r="F57" s="10">
        <v>1.47</v>
      </c>
      <c r="G57" s="10">
        <v>5.38</v>
      </c>
      <c r="H57" s="10">
        <v>2.74</v>
      </c>
      <c r="I57" s="10">
        <v>0.7</v>
      </c>
      <c r="J57" s="10">
        <v>34.18</v>
      </c>
      <c r="K57" s="10">
        <v>6.1</v>
      </c>
      <c r="L57" s="10">
        <v>11.1</v>
      </c>
      <c r="M57" s="10">
        <v>0.46</v>
      </c>
      <c r="N57" s="10"/>
      <c r="O57" s="12"/>
    </row>
    <row r="58" spans="1:15">
      <c r="A58" s="9" t="s">
        <v>110</v>
      </c>
      <c r="B58" s="10">
        <v>54.61</v>
      </c>
      <c r="C58" s="10"/>
      <c r="D58" s="10">
        <v>0.3</v>
      </c>
      <c r="E58" s="10">
        <v>2.08</v>
      </c>
      <c r="F58" s="10">
        <v>1.2</v>
      </c>
      <c r="G58" s="10">
        <v>6.5</v>
      </c>
      <c r="H58" s="10">
        <v>1.27</v>
      </c>
      <c r="I58" s="10">
        <v>0.45</v>
      </c>
      <c r="J58" s="10">
        <v>23.02</v>
      </c>
      <c r="K58" s="10">
        <v>4.1900000000000004</v>
      </c>
      <c r="L58" s="10">
        <v>4.32</v>
      </c>
      <c r="M58" s="10">
        <v>0.3</v>
      </c>
      <c r="N58" s="10"/>
      <c r="O58" s="12"/>
    </row>
    <row r="59" spans="1:15">
      <c r="A59" s="9" t="s">
        <v>68</v>
      </c>
      <c r="B59" s="10">
        <v>17.98</v>
      </c>
      <c r="C59" s="10"/>
      <c r="D59" s="10"/>
      <c r="E59" s="10">
        <v>3.19</v>
      </c>
      <c r="F59" s="10">
        <v>0.47</v>
      </c>
      <c r="G59" s="10">
        <v>1.87</v>
      </c>
      <c r="H59" s="10">
        <v>0.33</v>
      </c>
      <c r="I59" s="10">
        <v>1.1299999999999999</v>
      </c>
      <c r="J59" s="10">
        <v>44</v>
      </c>
      <c r="K59" s="10">
        <v>14.2</v>
      </c>
      <c r="L59" s="10">
        <v>6.34</v>
      </c>
      <c r="M59" s="10">
        <v>0.66</v>
      </c>
      <c r="N59" s="10"/>
      <c r="O59" s="12"/>
    </row>
    <row r="60" spans="1:15">
      <c r="A60" s="9" t="s">
        <v>111</v>
      </c>
      <c r="B60" s="10">
        <v>45.02</v>
      </c>
      <c r="C60" s="10"/>
      <c r="D60" s="10"/>
      <c r="E60" s="10">
        <v>3.12</v>
      </c>
      <c r="F60" s="10">
        <v>0.54</v>
      </c>
      <c r="G60" s="10">
        <v>4.16</v>
      </c>
      <c r="H60" s="10"/>
      <c r="I60" s="10">
        <v>0.7</v>
      </c>
      <c r="J60" s="10">
        <v>30.61</v>
      </c>
      <c r="K60" s="10">
        <v>6.22</v>
      </c>
      <c r="L60" s="10">
        <v>6.34</v>
      </c>
      <c r="M60" s="10">
        <v>0.23</v>
      </c>
      <c r="N60" s="10"/>
      <c r="O60" s="12"/>
    </row>
    <row r="61" spans="1:15">
      <c r="A61" s="9" t="s">
        <v>112</v>
      </c>
      <c r="B61" s="10">
        <v>24.61</v>
      </c>
      <c r="C61" s="10"/>
      <c r="D61" s="10"/>
      <c r="E61" s="10">
        <v>3.58</v>
      </c>
      <c r="F61" s="10">
        <v>1.19</v>
      </c>
      <c r="G61" s="10">
        <v>5.25</v>
      </c>
      <c r="H61" s="10">
        <v>1.19</v>
      </c>
      <c r="I61" s="10">
        <v>1.37</v>
      </c>
      <c r="J61" s="10">
        <v>40.24</v>
      </c>
      <c r="K61" s="10">
        <v>8.94</v>
      </c>
      <c r="L61" s="10">
        <v>8.1</v>
      </c>
      <c r="M61" s="10">
        <v>0.39</v>
      </c>
      <c r="N61" s="10">
        <v>0.47</v>
      </c>
      <c r="O61" s="12"/>
    </row>
    <row r="62" spans="1:15">
      <c r="A62" s="9" t="s">
        <v>113</v>
      </c>
      <c r="B62" s="10">
        <v>21.35</v>
      </c>
      <c r="C62" s="10"/>
      <c r="D62" s="10"/>
      <c r="E62" s="10">
        <v>5.13</v>
      </c>
      <c r="F62" s="10">
        <v>1.45</v>
      </c>
      <c r="G62" s="10">
        <v>2.5099999999999998</v>
      </c>
      <c r="H62" s="10">
        <v>0.42</v>
      </c>
      <c r="I62" s="10">
        <v>0.75</v>
      </c>
      <c r="J62" s="10">
        <v>51.34</v>
      </c>
      <c r="K62" s="10"/>
      <c r="L62" s="10">
        <v>8.75</v>
      </c>
      <c r="M62" s="10"/>
      <c r="N62" s="10"/>
      <c r="O62" s="12"/>
    </row>
    <row r="63" spans="1:15">
      <c r="A63" s="9" t="s">
        <v>70</v>
      </c>
      <c r="B63" s="10">
        <v>25.74</v>
      </c>
      <c r="C63" s="10">
        <v>1.22</v>
      </c>
      <c r="D63" s="10"/>
      <c r="E63" s="10">
        <v>2.27</v>
      </c>
      <c r="F63" s="10">
        <v>0.55000000000000004</v>
      </c>
      <c r="G63" s="10">
        <v>1.1599999999999999</v>
      </c>
      <c r="H63" s="10">
        <v>0.23</v>
      </c>
      <c r="I63" s="10">
        <v>0.7</v>
      </c>
      <c r="J63" s="10">
        <v>47.42</v>
      </c>
      <c r="K63" s="10">
        <v>8.64</v>
      </c>
      <c r="L63" s="10">
        <v>5.71</v>
      </c>
      <c r="M63" s="10">
        <v>0.44</v>
      </c>
      <c r="N63" s="10"/>
      <c r="O63" s="12"/>
    </row>
    <row r="64" spans="1:15">
      <c r="A64" s="9" t="s">
        <v>114</v>
      </c>
      <c r="B64" s="10">
        <v>63.66</v>
      </c>
      <c r="C64" s="10">
        <v>3.04</v>
      </c>
      <c r="D64" s="10">
        <v>0.11</v>
      </c>
      <c r="E64" s="10">
        <v>0.78</v>
      </c>
      <c r="F64" s="10">
        <v>1.1399999999999999</v>
      </c>
      <c r="G64" s="10">
        <v>6.06</v>
      </c>
      <c r="H64" s="10"/>
      <c r="I64" s="10">
        <v>0.54</v>
      </c>
      <c r="J64" s="10">
        <v>13.66</v>
      </c>
      <c r="K64" s="10">
        <v>8.99</v>
      </c>
      <c r="L64" s="10"/>
      <c r="M64" s="10">
        <v>0.27</v>
      </c>
      <c r="N64" s="10"/>
      <c r="O64" s="12"/>
    </row>
    <row r="65" spans="1:15">
      <c r="A65" s="9" t="s">
        <v>72</v>
      </c>
      <c r="B65" s="10">
        <v>22.28</v>
      </c>
      <c r="C65" s="10"/>
      <c r="D65" s="10">
        <v>0.32</v>
      </c>
      <c r="E65" s="10">
        <v>3.19</v>
      </c>
      <c r="F65" s="10">
        <v>1.28</v>
      </c>
      <c r="G65" s="10">
        <v>4.1500000000000004</v>
      </c>
      <c r="H65" s="10"/>
      <c r="I65" s="10">
        <v>0.83</v>
      </c>
      <c r="J65" s="10">
        <v>55.46</v>
      </c>
      <c r="K65" s="10">
        <v>7.04</v>
      </c>
      <c r="L65" s="10">
        <v>4.24</v>
      </c>
      <c r="M65" s="10">
        <v>0.88</v>
      </c>
      <c r="N65" s="10"/>
      <c r="O65" s="12"/>
    </row>
    <row r="66" spans="1:15">
      <c r="A66" s="9" t="s">
        <v>115</v>
      </c>
      <c r="B66" s="10">
        <v>17.11</v>
      </c>
      <c r="C66" s="10"/>
      <c r="D66" s="10"/>
      <c r="E66" s="10"/>
      <c r="F66" s="10">
        <v>1.1100000000000001</v>
      </c>
      <c r="G66" s="10">
        <v>3.65</v>
      </c>
      <c r="H66" s="10"/>
      <c r="I66" s="10">
        <v>1.34</v>
      </c>
      <c r="J66" s="10">
        <v>58.46</v>
      </c>
      <c r="K66" s="10"/>
      <c r="L66" s="10">
        <v>14.13</v>
      </c>
      <c r="M66" s="10">
        <v>1.1200000000000001</v>
      </c>
      <c r="N66" s="10"/>
      <c r="O66" s="12"/>
    </row>
    <row r="67" spans="1:15">
      <c r="A67" s="9" t="s">
        <v>73</v>
      </c>
      <c r="B67" s="10">
        <v>49.01</v>
      </c>
      <c r="C67" s="10">
        <v>2.71</v>
      </c>
      <c r="D67" s="10"/>
      <c r="E67" s="10">
        <v>1.1299999999999999</v>
      </c>
      <c r="F67" s="10"/>
      <c r="G67" s="10">
        <v>1.45</v>
      </c>
      <c r="H67" s="10"/>
      <c r="I67" s="10">
        <v>0.86</v>
      </c>
      <c r="J67" s="10">
        <v>32.92</v>
      </c>
      <c r="K67" s="10">
        <v>7.95</v>
      </c>
      <c r="L67" s="10">
        <v>0.35</v>
      </c>
      <c r="M67" s="10"/>
      <c r="N67" s="10"/>
      <c r="O67" s="12"/>
    </row>
    <row r="68" spans="1:15">
      <c r="A68" s="9" t="s">
        <v>75</v>
      </c>
      <c r="B68" s="10">
        <v>29.15</v>
      </c>
      <c r="C68" s="10"/>
      <c r="D68" s="10"/>
      <c r="E68" s="10">
        <v>1.21</v>
      </c>
      <c r="F68" s="10"/>
      <c r="G68" s="10">
        <v>1.85</v>
      </c>
      <c r="H68" s="10"/>
      <c r="I68" s="10">
        <v>0.79</v>
      </c>
      <c r="J68" s="10">
        <v>41.25</v>
      </c>
      <c r="K68" s="10">
        <v>15.45</v>
      </c>
      <c r="L68" s="10">
        <v>2.54</v>
      </c>
      <c r="M68" s="10"/>
      <c r="N68" s="10"/>
      <c r="O68" s="12"/>
    </row>
    <row r="69" spans="1:15">
      <c r="A69" s="9" t="s">
        <v>76</v>
      </c>
      <c r="B69" s="10">
        <v>25.42</v>
      </c>
      <c r="C69" s="10"/>
      <c r="D69" s="10"/>
      <c r="E69" s="10">
        <v>1.31</v>
      </c>
      <c r="F69" s="10"/>
      <c r="G69" s="10">
        <v>2.1800000000000002</v>
      </c>
      <c r="H69" s="10"/>
      <c r="I69" s="10">
        <v>1.1599999999999999</v>
      </c>
      <c r="J69" s="10">
        <v>45.1</v>
      </c>
      <c r="K69" s="10">
        <v>17.3</v>
      </c>
      <c r="L69" s="10"/>
      <c r="M69" s="10"/>
      <c r="N69" s="10"/>
      <c r="O69" s="12"/>
    </row>
    <row r="70" spans="1:15">
      <c r="A70" s="9" t="s">
        <v>77</v>
      </c>
      <c r="B70" s="10">
        <v>30.39</v>
      </c>
      <c r="C70" s="10"/>
      <c r="D70" s="10">
        <v>0.34</v>
      </c>
      <c r="E70" s="10">
        <v>3.49</v>
      </c>
      <c r="F70" s="10">
        <v>0.79</v>
      </c>
      <c r="G70" s="10">
        <v>3.52</v>
      </c>
      <c r="H70" s="10">
        <v>0.86</v>
      </c>
      <c r="I70" s="10">
        <v>3.13</v>
      </c>
      <c r="J70" s="10">
        <v>39.35</v>
      </c>
      <c r="K70" s="10">
        <v>7.66</v>
      </c>
      <c r="L70" s="10">
        <v>8.99</v>
      </c>
      <c r="M70" s="10">
        <v>0.24</v>
      </c>
      <c r="N70" s="10"/>
      <c r="O70" s="10"/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="137" workbookViewId="0"/>
  </sheetViews>
  <sheetFormatPr baseColWidth="10" defaultColWidth="8.6640625" defaultRowHeight="14"/>
  <cols>
    <col min="1" max="2" width="9.6640625" style="1" customWidth="1"/>
    <col min="3" max="16" width="9.6640625" customWidth="1"/>
  </cols>
  <sheetData>
    <row r="1" spans="1:16" s="1" customFormat="1" ht="30">
      <c r="A1" s="16" t="s">
        <v>0</v>
      </c>
      <c r="B1" s="5" t="s">
        <v>4</v>
      </c>
      <c r="C1" s="20" t="s">
        <v>116</v>
      </c>
      <c r="D1" s="20" t="s">
        <v>117</v>
      </c>
      <c r="E1" s="20" t="s">
        <v>118</v>
      </c>
      <c r="F1" s="20" t="s">
        <v>119</v>
      </c>
      <c r="G1" s="20" t="s">
        <v>120</v>
      </c>
      <c r="H1" s="20" t="s">
        <v>121</v>
      </c>
      <c r="I1" s="20" t="s">
        <v>122</v>
      </c>
      <c r="J1" s="20" t="s">
        <v>123</v>
      </c>
      <c r="K1" s="20" t="s">
        <v>124</v>
      </c>
      <c r="L1" s="20" t="s">
        <v>125</v>
      </c>
      <c r="M1" s="20" t="s">
        <v>126</v>
      </c>
      <c r="N1" s="20" t="s">
        <v>127</v>
      </c>
      <c r="O1" s="20" t="s">
        <v>128</v>
      </c>
      <c r="P1" s="20" t="s">
        <v>129</v>
      </c>
    </row>
    <row r="2" spans="1:16">
      <c r="A2" s="17" t="s">
        <v>130</v>
      </c>
      <c r="B2" s="14" t="s">
        <v>9</v>
      </c>
      <c r="C2" s="10">
        <v>78.45</v>
      </c>
      <c r="D2" s="10"/>
      <c r="E2" s="10"/>
      <c r="F2" s="10">
        <v>6.08</v>
      </c>
      <c r="G2" s="10">
        <v>1.86</v>
      </c>
      <c r="H2" s="10">
        <v>7.23</v>
      </c>
      <c r="I2" s="10">
        <v>2.15</v>
      </c>
      <c r="J2" s="10">
        <v>2.11</v>
      </c>
      <c r="K2" s="10"/>
      <c r="L2" s="10"/>
      <c r="M2" s="10">
        <v>1.06</v>
      </c>
      <c r="N2" s="10">
        <v>0.03</v>
      </c>
      <c r="O2" s="10"/>
      <c r="P2" s="10">
        <v>0.51</v>
      </c>
    </row>
    <row r="3" spans="1:16">
      <c r="A3" s="17" t="s">
        <v>131</v>
      </c>
      <c r="B3" s="14" t="s">
        <v>14</v>
      </c>
      <c r="C3" s="10">
        <v>37.75</v>
      </c>
      <c r="D3" s="10"/>
      <c r="E3" s="10"/>
      <c r="F3" s="10">
        <v>7.63</v>
      </c>
      <c r="G3" s="10"/>
      <c r="H3" s="10">
        <v>2.33</v>
      </c>
      <c r="I3" s="10"/>
      <c r="J3" s="10"/>
      <c r="K3" s="10">
        <v>34.299999999999997</v>
      </c>
      <c r="L3" s="10"/>
      <c r="M3" s="10">
        <v>14.27</v>
      </c>
      <c r="N3" s="10"/>
      <c r="O3" s="10"/>
      <c r="P3" s="17"/>
    </row>
    <row r="4" spans="1:16">
      <c r="A4" s="17" t="s">
        <v>132</v>
      </c>
      <c r="B4" s="14" t="s">
        <v>9</v>
      </c>
      <c r="C4" s="10">
        <v>31.95</v>
      </c>
      <c r="D4" s="10"/>
      <c r="E4" s="10">
        <v>1.36</v>
      </c>
      <c r="F4" s="10">
        <v>7.19</v>
      </c>
      <c r="G4" s="10">
        <v>0.81</v>
      </c>
      <c r="H4" s="10">
        <v>2.93</v>
      </c>
      <c r="I4" s="10">
        <v>7.06</v>
      </c>
      <c r="J4" s="10">
        <v>0.21</v>
      </c>
      <c r="K4" s="10">
        <v>39.58</v>
      </c>
      <c r="L4" s="10">
        <v>4.6900000000000004</v>
      </c>
      <c r="M4" s="10">
        <v>2.68</v>
      </c>
      <c r="N4" s="10">
        <v>0.52</v>
      </c>
      <c r="O4" s="10"/>
      <c r="P4" s="17"/>
    </row>
    <row r="5" spans="1:16">
      <c r="A5" s="17" t="s">
        <v>133</v>
      </c>
      <c r="B5" s="14" t="s">
        <v>9</v>
      </c>
      <c r="C5" s="10">
        <v>35.47</v>
      </c>
      <c r="D5" s="10"/>
      <c r="E5" s="10">
        <v>0.79</v>
      </c>
      <c r="F5" s="10">
        <v>2.89</v>
      </c>
      <c r="G5" s="10">
        <v>1.05</v>
      </c>
      <c r="H5" s="10">
        <v>7.07</v>
      </c>
      <c r="I5" s="10">
        <v>6.45</v>
      </c>
      <c r="J5" s="10">
        <v>0.96</v>
      </c>
      <c r="K5" s="10">
        <v>24.28</v>
      </c>
      <c r="L5" s="10">
        <v>8.31</v>
      </c>
      <c r="M5" s="10">
        <v>8.4499999999999993</v>
      </c>
      <c r="N5" s="10">
        <v>0.28000000000000003</v>
      </c>
      <c r="O5" s="10"/>
      <c r="P5" s="10"/>
    </row>
    <row r="6" spans="1:16">
      <c r="A6" s="17" t="s">
        <v>134</v>
      </c>
      <c r="B6" s="14" t="s">
        <v>14</v>
      </c>
      <c r="C6" s="10">
        <v>64.290000000000006</v>
      </c>
      <c r="D6" s="10">
        <v>1.2</v>
      </c>
      <c r="E6" s="10">
        <v>0.37</v>
      </c>
      <c r="F6" s="10">
        <v>1.64</v>
      </c>
      <c r="G6" s="10">
        <v>2.34</v>
      </c>
      <c r="H6" s="10">
        <v>12.75</v>
      </c>
      <c r="I6" s="10">
        <v>0.81</v>
      </c>
      <c r="J6" s="10">
        <v>0.94</v>
      </c>
      <c r="K6" s="10">
        <v>12.23</v>
      </c>
      <c r="L6" s="10">
        <v>2.16</v>
      </c>
      <c r="M6" s="10">
        <v>0.19</v>
      </c>
      <c r="N6" s="10">
        <v>0.21</v>
      </c>
      <c r="O6" s="10">
        <v>0.49</v>
      </c>
      <c r="P6" s="17"/>
    </row>
    <row r="7" spans="1:16">
      <c r="A7" s="17" t="s">
        <v>135</v>
      </c>
      <c r="B7" s="14" t="s">
        <v>14</v>
      </c>
      <c r="C7" s="4">
        <v>93.17</v>
      </c>
      <c r="D7" s="4"/>
      <c r="E7" s="4">
        <v>1.35</v>
      </c>
      <c r="F7" s="4">
        <v>0.64</v>
      </c>
      <c r="G7" s="4">
        <v>0.21</v>
      </c>
      <c r="H7" s="4">
        <v>1.52</v>
      </c>
      <c r="I7" s="4">
        <v>0.27</v>
      </c>
      <c r="J7" s="4">
        <v>1.73</v>
      </c>
      <c r="K7" s="17"/>
      <c r="L7" s="17"/>
      <c r="M7" s="10">
        <v>0.21</v>
      </c>
      <c r="N7" s="17"/>
      <c r="O7" s="17"/>
      <c r="P7" s="17"/>
    </row>
    <row r="8" spans="1:16">
      <c r="A8" s="17" t="s">
        <v>136</v>
      </c>
      <c r="B8" s="14" t="s">
        <v>14</v>
      </c>
      <c r="C8" s="10">
        <v>90.83</v>
      </c>
      <c r="D8" s="10"/>
      <c r="E8" s="10">
        <v>0.98</v>
      </c>
      <c r="F8" s="10">
        <v>1.1200000000000001</v>
      </c>
      <c r="G8" s="10"/>
      <c r="H8" s="10">
        <v>5.0599999999999996</v>
      </c>
      <c r="I8" s="10">
        <v>0.24</v>
      </c>
      <c r="J8" s="10">
        <v>1.17</v>
      </c>
      <c r="K8" s="17"/>
      <c r="L8" s="17"/>
      <c r="M8" s="17">
        <v>0.13</v>
      </c>
      <c r="N8" s="17"/>
      <c r="O8" s="17"/>
      <c r="P8" s="17">
        <v>0.11</v>
      </c>
    </row>
    <row r="9" spans="1:16">
      <c r="A9" s="17" t="s">
        <v>137</v>
      </c>
      <c r="B9" s="14" t="s">
        <v>9</v>
      </c>
      <c r="C9" s="15">
        <v>51.12</v>
      </c>
      <c r="D9" s="15">
        <v>0</v>
      </c>
      <c r="E9" s="15">
        <v>0.23</v>
      </c>
      <c r="F9" s="15">
        <v>0.89</v>
      </c>
      <c r="G9" s="15">
        <v>0</v>
      </c>
      <c r="H9" s="15">
        <v>2.12</v>
      </c>
      <c r="I9" s="15">
        <v>0</v>
      </c>
      <c r="J9" s="15">
        <v>9.01</v>
      </c>
      <c r="K9" s="15">
        <v>21.24</v>
      </c>
      <c r="L9" s="15">
        <v>11.34</v>
      </c>
      <c r="M9" s="15">
        <v>1.46</v>
      </c>
      <c r="N9" s="15">
        <v>0.31</v>
      </c>
      <c r="O9" s="15">
        <v>0</v>
      </c>
      <c r="P9" s="15">
        <v>2.2599999999999998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"/>
  <sheetViews>
    <sheetView showGridLines="0" tabSelected="1" workbookViewId="0">
      <selection activeCell="L12" sqref="L12"/>
    </sheetView>
  </sheetViews>
  <sheetFormatPr baseColWidth="10" defaultColWidth="8.83203125" defaultRowHeight="14"/>
  <cols>
    <col min="1" max="1" width="11" customWidth="1"/>
    <col min="2" max="3" width="10" customWidth="1"/>
    <col min="4" max="9" width="12" customWidth="1"/>
  </cols>
  <sheetData>
    <row r="1" spans="1:9" ht="34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138</v>
      </c>
      <c r="G1" s="25" t="s">
        <v>139</v>
      </c>
      <c r="H1" s="25" t="s">
        <v>140</v>
      </c>
      <c r="I1" s="25" t="s">
        <v>141</v>
      </c>
    </row>
    <row r="2" spans="1:9">
      <c r="A2" s="26" t="s">
        <v>5</v>
      </c>
      <c r="B2" t="s">
        <v>6</v>
      </c>
      <c r="C2" t="s">
        <v>7</v>
      </c>
      <c r="D2" t="s">
        <v>8</v>
      </c>
      <c r="E2" t="s">
        <v>9</v>
      </c>
      <c r="F2" s="23" t="str">
        <f t="shared" ref="F2:F33" si="0">IF(D2="","未知",D2)</f>
        <v>蓝绿</v>
      </c>
      <c r="G2" s="24">
        <f t="shared" ref="G2:G33" si="1">IF(E2="风化",1,IF(E2="无风化",0,"检查"))</f>
        <v>0</v>
      </c>
      <c r="H2" s="24">
        <f t="shared" ref="H2:H33" si="2">IF(D2="",1,0)</f>
        <v>0</v>
      </c>
      <c r="I2" s="23" t="str">
        <f t="shared" ref="I2:I33" si="3">IF(AND(A2&lt;&gt;"",OR(B2="A",B2="B",B2="C"),OR(C2="高钾",C2="铅钡"),OR(E2="风化",E2="无风化"),COUNTIF($A$2:$A$59,A2)=1),"通过","检查")</f>
        <v>通过</v>
      </c>
    </row>
    <row r="3" spans="1:9">
      <c r="A3" s="26" t="s">
        <v>10</v>
      </c>
      <c r="B3" t="s">
        <v>11</v>
      </c>
      <c r="C3" t="s">
        <v>12</v>
      </c>
      <c r="D3" t="s">
        <v>13</v>
      </c>
      <c r="E3" t="s">
        <v>14</v>
      </c>
      <c r="F3" s="23" t="str">
        <f t="shared" si="0"/>
        <v>浅蓝</v>
      </c>
      <c r="G3" s="24">
        <f t="shared" si="1"/>
        <v>1</v>
      </c>
      <c r="H3" s="24">
        <f t="shared" si="2"/>
        <v>0</v>
      </c>
      <c r="I3" s="23" t="str">
        <f t="shared" si="3"/>
        <v>通过</v>
      </c>
    </row>
    <row r="4" spans="1:9">
      <c r="A4" s="26" t="s">
        <v>15</v>
      </c>
      <c r="B4" t="s">
        <v>11</v>
      </c>
      <c r="C4" t="s">
        <v>7</v>
      </c>
      <c r="D4" t="s">
        <v>8</v>
      </c>
      <c r="E4" t="s">
        <v>9</v>
      </c>
      <c r="F4" s="23" t="str">
        <f t="shared" si="0"/>
        <v>蓝绿</v>
      </c>
      <c r="G4" s="24">
        <f t="shared" si="1"/>
        <v>0</v>
      </c>
      <c r="H4" s="24">
        <f t="shared" si="2"/>
        <v>0</v>
      </c>
      <c r="I4" s="23" t="str">
        <f t="shared" si="3"/>
        <v>通过</v>
      </c>
    </row>
    <row r="5" spans="1:9">
      <c r="A5" s="26" t="s">
        <v>16</v>
      </c>
      <c r="B5" t="s">
        <v>11</v>
      </c>
      <c r="C5" t="s">
        <v>7</v>
      </c>
      <c r="D5" t="s">
        <v>8</v>
      </c>
      <c r="E5" t="s">
        <v>9</v>
      </c>
      <c r="F5" s="23" t="str">
        <f t="shared" si="0"/>
        <v>蓝绿</v>
      </c>
      <c r="G5" s="24">
        <f t="shared" si="1"/>
        <v>0</v>
      </c>
      <c r="H5" s="24">
        <f t="shared" si="2"/>
        <v>0</v>
      </c>
      <c r="I5" s="23" t="str">
        <f t="shared" si="3"/>
        <v>通过</v>
      </c>
    </row>
    <row r="6" spans="1:9">
      <c r="A6" s="26" t="s">
        <v>17</v>
      </c>
      <c r="B6" t="s">
        <v>11</v>
      </c>
      <c r="C6" t="s">
        <v>7</v>
      </c>
      <c r="D6" t="s">
        <v>8</v>
      </c>
      <c r="E6" t="s">
        <v>9</v>
      </c>
      <c r="F6" s="23" t="str">
        <f t="shared" si="0"/>
        <v>蓝绿</v>
      </c>
      <c r="G6" s="24">
        <f t="shared" si="1"/>
        <v>0</v>
      </c>
      <c r="H6" s="24">
        <f t="shared" si="2"/>
        <v>0</v>
      </c>
      <c r="I6" s="23" t="str">
        <f t="shared" si="3"/>
        <v>通过</v>
      </c>
    </row>
    <row r="7" spans="1:9">
      <c r="A7" s="26" t="s">
        <v>18</v>
      </c>
      <c r="B7" t="s">
        <v>11</v>
      </c>
      <c r="C7" t="s">
        <v>7</v>
      </c>
      <c r="D7" t="s">
        <v>8</v>
      </c>
      <c r="E7" t="s">
        <v>9</v>
      </c>
      <c r="F7" s="23" t="str">
        <f t="shared" si="0"/>
        <v>蓝绿</v>
      </c>
      <c r="G7" s="24">
        <f t="shared" si="1"/>
        <v>0</v>
      </c>
      <c r="H7" s="24">
        <f t="shared" si="2"/>
        <v>0</v>
      </c>
      <c r="I7" s="23" t="str">
        <f t="shared" si="3"/>
        <v>通过</v>
      </c>
    </row>
    <row r="8" spans="1:9">
      <c r="A8" s="26" t="s">
        <v>19</v>
      </c>
      <c r="B8" t="s">
        <v>20</v>
      </c>
      <c r="C8" t="s">
        <v>7</v>
      </c>
      <c r="D8" t="s">
        <v>8</v>
      </c>
      <c r="E8" t="s">
        <v>14</v>
      </c>
      <c r="F8" s="23" t="str">
        <f t="shared" si="0"/>
        <v>蓝绿</v>
      </c>
      <c r="G8" s="24">
        <f t="shared" si="1"/>
        <v>1</v>
      </c>
      <c r="H8" s="24">
        <f t="shared" si="2"/>
        <v>0</v>
      </c>
      <c r="I8" s="23" t="str">
        <f t="shared" si="3"/>
        <v>通过</v>
      </c>
    </row>
    <row r="9" spans="1:9">
      <c r="A9" s="26" t="s">
        <v>21</v>
      </c>
      <c r="B9" t="s">
        <v>6</v>
      </c>
      <c r="C9" t="s">
        <v>12</v>
      </c>
      <c r="D9" t="s">
        <v>22</v>
      </c>
      <c r="E9" t="s">
        <v>14</v>
      </c>
      <c r="F9" s="23" t="str">
        <f t="shared" si="0"/>
        <v>紫</v>
      </c>
      <c r="G9" s="24">
        <f t="shared" si="1"/>
        <v>1</v>
      </c>
      <c r="H9" s="24">
        <f t="shared" si="2"/>
        <v>0</v>
      </c>
      <c r="I9" s="23" t="str">
        <f t="shared" si="3"/>
        <v>通过</v>
      </c>
    </row>
    <row r="10" spans="1:9">
      <c r="A10" s="26" t="s">
        <v>23</v>
      </c>
      <c r="B10" t="s">
        <v>20</v>
      </c>
      <c r="C10" t="s">
        <v>7</v>
      </c>
      <c r="D10" t="s">
        <v>8</v>
      </c>
      <c r="E10" t="s">
        <v>14</v>
      </c>
      <c r="F10" s="23" t="str">
        <f t="shared" si="0"/>
        <v>蓝绿</v>
      </c>
      <c r="G10" s="24">
        <f t="shared" si="1"/>
        <v>1</v>
      </c>
      <c r="H10" s="24">
        <f t="shared" si="2"/>
        <v>0</v>
      </c>
      <c r="I10" s="23" t="str">
        <f t="shared" si="3"/>
        <v>通过</v>
      </c>
    </row>
    <row r="11" spans="1:9">
      <c r="A11" s="26" t="s">
        <v>24</v>
      </c>
      <c r="B11" t="s">
        <v>20</v>
      </c>
      <c r="C11" t="s">
        <v>7</v>
      </c>
      <c r="D11" t="s">
        <v>8</v>
      </c>
      <c r="E11" t="s">
        <v>14</v>
      </c>
      <c r="F11" s="23" t="str">
        <f t="shared" si="0"/>
        <v>蓝绿</v>
      </c>
      <c r="G11" s="24">
        <f t="shared" si="1"/>
        <v>1</v>
      </c>
      <c r="H11" s="24">
        <f t="shared" si="2"/>
        <v>0</v>
      </c>
      <c r="I11" s="23" t="str">
        <f t="shared" si="3"/>
        <v>通过</v>
      </c>
    </row>
    <row r="12" spans="1:9">
      <c r="A12" s="26" t="s">
        <v>25</v>
      </c>
      <c r="B12" t="s">
        <v>6</v>
      </c>
      <c r="C12" t="s">
        <v>12</v>
      </c>
      <c r="D12" t="s">
        <v>13</v>
      </c>
      <c r="E12" t="s">
        <v>14</v>
      </c>
      <c r="F12" s="23" t="str">
        <f t="shared" si="0"/>
        <v>浅蓝</v>
      </c>
      <c r="G12" s="24">
        <f t="shared" si="1"/>
        <v>1</v>
      </c>
      <c r="H12" s="24">
        <f t="shared" si="2"/>
        <v>0</v>
      </c>
      <c r="I12" s="23" t="str">
        <f t="shared" si="3"/>
        <v>通过</v>
      </c>
    </row>
    <row r="13" spans="1:9">
      <c r="A13" s="26" t="s">
        <v>26</v>
      </c>
      <c r="B13" t="s">
        <v>20</v>
      </c>
      <c r="C13" t="s">
        <v>7</v>
      </c>
      <c r="D13" t="s">
        <v>8</v>
      </c>
      <c r="E13" t="s">
        <v>14</v>
      </c>
      <c r="F13" s="23" t="str">
        <f t="shared" si="0"/>
        <v>蓝绿</v>
      </c>
      <c r="G13" s="24">
        <f t="shared" si="1"/>
        <v>1</v>
      </c>
      <c r="H13" s="24">
        <f t="shared" si="2"/>
        <v>0</v>
      </c>
      <c r="I13" s="23" t="str">
        <f t="shared" si="3"/>
        <v>通过</v>
      </c>
    </row>
    <row r="14" spans="1:9">
      <c r="A14" s="26" t="s">
        <v>27</v>
      </c>
      <c r="B14" t="s">
        <v>6</v>
      </c>
      <c r="C14" t="s">
        <v>7</v>
      </c>
      <c r="D14" t="s">
        <v>13</v>
      </c>
      <c r="E14" t="s">
        <v>9</v>
      </c>
      <c r="F14" s="23" t="str">
        <f t="shared" si="0"/>
        <v>浅蓝</v>
      </c>
      <c r="G14" s="24">
        <f t="shared" si="1"/>
        <v>0</v>
      </c>
      <c r="H14" s="24">
        <f t="shared" si="2"/>
        <v>0</v>
      </c>
      <c r="I14" s="23" t="str">
        <f t="shared" si="3"/>
        <v>通过</v>
      </c>
    </row>
    <row r="15" spans="1:9">
      <c r="A15" s="26" t="s">
        <v>28</v>
      </c>
      <c r="B15" t="s">
        <v>6</v>
      </c>
      <c r="C15" t="s">
        <v>7</v>
      </c>
      <c r="D15" t="s">
        <v>29</v>
      </c>
      <c r="E15" t="s">
        <v>9</v>
      </c>
      <c r="F15" s="23" t="str">
        <f t="shared" si="0"/>
        <v>深绿</v>
      </c>
      <c r="G15" s="24">
        <f t="shared" si="1"/>
        <v>0</v>
      </c>
      <c r="H15" s="24">
        <f t="shared" si="2"/>
        <v>0</v>
      </c>
      <c r="I15" s="23" t="str">
        <f t="shared" si="3"/>
        <v>通过</v>
      </c>
    </row>
    <row r="16" spans="1:9">
      <c r="A16" s="26" t="s">
        <v>30</v>
      </c>
      <c r="B16" t="s">
        <v>6</v>
      </c>
      <c r="C16" t="s">
        <v>7</v>
      </c>
      <c r="D16" t="s">
        <v>13</v>
      </c>
      <c r="E16" t="s">
        <v>9</v>
      </c>
      <c r="F16" s="23" t="str">
        <f t="shared" si="0"/>
        <v>浅蓝</v>
      </c>
      <c r="G16" s="24">
        <f t="shared" si="1"/>
        <v>0</v>
      </c>
      <c r="H16" s="24">
        <f t="shared" si="2"/>
        <v>0</v>
      </c>
      <c r="I16" s="23" t="str">
        <f t="shared" si="3"/>
        <v>通过</v>
      </c>
    </row>
    <row r="17" spans="1:9">
      <c r="A17" s="26" t="s">
        <v>31</v>
      </c>
      <c r="B17" t="s">
        <v>6</v>
      </c>
      <c r="C17" t="s">
        <v>7</v>
      </c>
      <c r="D17" t="s">
        <v>13</v>
      </c>
      <c r="E17" t="s">
        <v>9</v>
      </c>
      <c r="F17" s="23" t="str">
        <f t="shared" si="0"/>
        <v>浅蓝</v>
      </c>
      <c r="G17" s="24">
        <f t="shared" si="1"/>
        <v>0</v>
      </c>
      <c r="H17" s="24">
        <f t="shared" si="2"/>
        <v>0</v>
      </c>
      <c r="I17" s="23" t="str">
        <f t="shared" si="3"/>
        <v>通过</v>
      </c>
    </row>
    <row r="18" spans="1:9">
      <c r="A18" s="26" t="s">
        <v>32</v>
      </c>
      <c r="B18" t="s">
        <v>6</v>
      </c>
      <c r="C18" t="s">
        <v>7</v>
      </c>
      <c r="D18" t="s">
        <v>13</v>
      </c>
      <c r="E18" t="s">
        <v>9</v>
      </c>
      <c r="F18" s="23" t="str">
        <f t="shared" si="0"/>
        <v>浅蓝</v>
      </c>
      <c r="G18" s="24">
        <f t="shared" si="1"/>
        <v>0</v>
      </c>
      <c r="H18" s="24">
        <f t="shared" si="2"/>
        <v>0</v>
      </c>
      <c r="I18" s="23" t="str">
        <f t="shared" si="3"/>
        <v>通过</v>
      </c>
    </row>
    <row r="19" spans="1:9">
      <c r="A19" s="26" t="s">
        <v>33</v>
      </c>
      <c r="B19" t="s">
        <v>11</v>
      </c>
      <c r="C19" t="s">
        <v>7</v>
      </c>
      <c r="D19" t="s">
        <v>34</v>
      </c>
      <c r="E19" t="s">
        <v>9</v>
      </c>
      <c r="F19" s="23" t="str">
        <f t="shared" si="0"/>
        <v>深蓝</v>
      </c>
      <c r="G19" s="24">
        <f t="shared" si="1"/>
        <v>0</v>
      </c>
      <c r="H19" s="24">
        <f t="shared" si="2"/>
        <v>0</v>
      </c>
      <c r="I19" s="23" t="str">
        <f t="shared" si="3"/>
        <v>通过</v>
      </c>
    </row>
    <row r="20" spans="1:9">
      <c r="A20" s="26" t="s">
        <v>35</v>
      </c>
      <c r="B20" t="s">
        <v>11</v>
      </c>
      <c r="C20" t="s">
        <v>12</v>
      </c>
      <c r="E20" t="s">
        <v>14</v>
      </c>
      <c r="F20" s="23" t="str">
        <f t="shared" si="0"/>
        <v>未知</v>
      </c>
      <c r="G20" s="24">
        <f t="shared" si="1"/>
        <v>1</v>
      </c>
      <c r="H20" s="24">
        <f t="shared" si="2"/>
        <v>1</v>
      </c>
      <c r="I20" s="23" t="str">
        <f t="shared" si="3"/>
        <v>通过</v>
      </c>
    </row>
    <row r="21" spans="1:9">
      <c r="A21" s="26" t="s">
        <v>36</v>
      </c>
      <c r="B21" t="s">
        <v>11</v>
      </c>
      <c r="C21" t="s">
        <v>12</v>
      </c>
      <c r="D21" t="s">
        <v>13</v>
      </c>
      <c r="E21" t="s">
        <v>9</v>
      </c>
      <c r="F21" s="23" t="str">
        <f t="shared" si="0"/>
        <v>浅蓝</v>
      </c>
      <c r="G21" s="24">
        <f t="shared" si="1"/>
        <v>0</v>
      </c>
      <c r="H21" s="24">
        <f t="shared" si="2"/>
        <v>0</v>
      </c>
      <c r="I21" s="23" t="str">
        <f t="shared" si="3"/>
        <v>通过</v>
      </c>
    </row>
    <row r="22" spans="1:9">
      <c r="A22" s="26" t="s">
        <v>37</v>
      </c>
      <c r="B22" t="s">
        <v>11</v>
      </c>
      <c r="C22" t="s">
        <v>7</v>
      </c>
      <c r="D22" t="s">
        <v>8</v>
      </c>
      <c r="E22" t="s">
        <v>9</v>
      </c>
      <c r="F22" s="23" t="str">
        <f t="shared" si="0"/>
        <v>蓝绿</v>
      </c>
      <c r="G22" s="24">
        <f t="shared" si="1"/>
        <v>0</v>
      </c>
      <c r="H22" s="24">
        <f t="shared" si="2"/>
        <v>0</v>
      </c>
      <c r="I22" s="23" t="str">
        <f t="shared" si="3"/>
        <v>通过</v>
      </c>
    </row>
    <row r="23" spans="1:9">
      <c r="A23" s="26" t="s">
        <v>38</v>
      </c>
      <c r="B23" t="s">
        <v>20</v>
      </c>
      <c r="C23" t="s">
        <v>7</v>
      </c>
      <c r="D23" t="s">
        <v>8</v>
      </c>
      <c r="E23" t="s">
        <v>14</v>
      </c>
      <c r="F23" s="23" t="str">
        <f t="shared" si="0"/>
        <v>蓝绿</v>
      </c>
      <c r="G23" s="24">
        <f t="shared" si="1"/>
        <v>1</v>
      </c>
      <c r="H23" s="24">
        <f t="shared" si="2"/>
        <v>0</v>
      </c>
      <c r="I23" s="23" t="str">
        <f t="shared" si="3"/>
        <v>通过</v>
      </c>
    </row>
    <row r="24" spans="1:9">
      <c r="A24" s="26" t="s">
        <v>39</v>
      </c>
      <c r="B24" t="s">
        <v>11</v>
      </c>
      <c r="C24" t="s">
        <v>12</v>
      </c>
      <c r="D24" t="s">
        <v>8</v>
      </c>
      <c r="E24" t="s">
        <v>14</v>
      </c>
      <c r="F24" s="23" t="str">
        <f t="shared" si="0"/>
        <v>蓝绿</v>
      </c>
      <c r="G24" s="24">
        <f t="shared" si="1"/>
        <v>1</v>
      </c>
      <c r="H24" s="24">
        <f t="shared" si="2"/>
        <v>0</v>
      </c>
      <c r="I24" s="23" t="str">
        <f t="shared" si="3"/>
        <v>通过</v>
      </c>
    </row>
    <row r="25" spans="1:9">
      <c r="A25" s="26" t="s">
        <v>40</v>
      </c>
      <c r="B25" t="s">
        <v>6</v>
      </c>
      <c r="C25" t="s">
        <v>12</v>
      </c>
      <c r="D25" t="s">
        <v>22</v>
      </c>
      <c r="E25" t="s">
        <v>9</v>
      </c>
      <c r="F25" s="23" t="str">
        <f t="shared" si="0"/>
        <v>紫</v>
      </c>
      <c r="G25" s="24">
        <f t="shared" si="1"/>
        <v>0</v>
      </c>
      <c r="H25" s="24">
        <f t="shared" si="2"/>
        <v>0</v>
      </c>
      <c r="I25" s="23" t="str">
        <f t="shared" si="3"/>
        <v>通过</v>
      </c>
    </row>
    <row r="26" spans="1:9">
      <c r="A26" s="26" t="s">
        <v>41</v>
      </c>
      <c r="B26" t="s">
        <v>6</v>
      </c>
      <c r="C26" t="s">
        <v>12</v>
      </c>
      <c r="D26" t="s">
        <v>13</v>
      </c>
      <c r="E26" t="s">
        <v>14</v>
      </c>
      <c r="F26" s="23" t="str">
        <f t="shared" si="0"/>
        <v>浅蓝</v>
      </c>
      <c r="G26" s="24">
        <f t="shared" si="1"/>
        <v>1</v>
      </c>
      <c r="H26" s="24">
        <f t="shared" si="2"/>
        <v>0</v>
      </c>
      <c r="I26" s="23" t="str">
        <f t="shared" si="3"/>
        <v>通过</v>
      </c>
    </row>
    <row r="27" spans="1:9">
      <c r="A27" s="26" t="s">
        <v>42</v>
      </c>
      <c r="B27" t="s">
        <v>6</v>
      </c>
      <c r="C27" t="s">
        <v>12</v>
      </c>
      <c r="D27" t="s">
        <v>22</v>
      </c>
      <c r="E27" t="s">
        <v>14</v>
      </c>
      <c r="F27" s="23" t="str">
        <f t="shared" si="0"/>
        <v>紫</v>
      </c>
      <c r="G27" s="24">
        <f t="shared" si="1"/>
        <v>1</v>
      </c>
      <c r="H27" s="24">
        <f t="shared" si="2"/>
        <v>0</v>
      </c>
      <c r="I27" s="23" t="str">
        <f t="shared" si="3"/>
        <v>通过</v>
      </c>
    </row>
    <row r="28" spans="1:9">
      <c r="A28" s="26" t="s">
        <v>43</v>
      </c>
      <c r="B28" t="s">
        <v>20</v>
      </c>
      <c r="C28" t="s">
        <v>7</v>
      </c>
      <c r="D28" t="s">
        <v>8</v>
      </c>
      <c r="E28" t="s">
        <v>14</v>
      </c>
      <c r="F28" s="23" t="str">
        <f t="shared" si="0"/>
        <v>蓝绿</v>
      </c>
      <c r="G28" s="24">
        <f t="shared" si="1"/>
        <v>1</v>
      </c>
      <c r="H28" s="24">
        <f t="shared" si="2"/>
        <v>0</v>
      </c>
      <c r="I28" s="23" t="str">
        <f t="shared" si="3"/>
        <v>通过</v>
      </c>
    </row>
    <row r="29" spans="1:9">
      <c r="A29" s="26" t="s">
        <v>44</v>
      </c>
      <c r="B29" t="s">
        <v>11</v>
      </c>
      <c r="C29" t="s">
        <v>12</v>
      </c>
      <c r="D29" t="s">
        <v>13</v>
      </c>
      <c r="E29" t="s">
        <v>14</v>
      </c>
      <c r="F29" s="23" t="str">
        <f t="shared" si="0"/>
        <v>浅蓝</v>
      </c>
      <c r="G29" s="24">
        <f t="shared" si="1"/>
        <v>1</v>
      </c>
      <c r="H29" s="24">
        <f t="shared" si="2"/>
        <v>0</v>
      </c>
      <c r="I29" s="23" t="str">
        <f t="shared" si="3"/>
        <v>通过</v>
      </c>
    </row>
    <row r="30" spans="1:9">
      <c r="A30" s="26" t="s">
        <v>45</v>
      </c>
      <c r="B30" t="s">
        <v>11</v>
      </c>
      <c r="C30" t="s">
        <v>12</v>
      </c>
      <c r="D30" t="s">
        <v>13</v>
      </c>
      <c r="E30" t="s">
        <v>14</v>
      </c>
      <c r="F30" s="23" t="str">
        <f t="shared" si="0"/>
        <v>浅蓝</v>
      </c>
      <c r="G30" s="24">
        <f t="shared" si="1"/>
        <v>1</v>
      </c>
      <c r="H30" s="24">
        <f t="shared" si="2"/>
        <v>0</v>
      </c>
      <c r="I30" s="23" t="str">
        <f t="shared" si="3"/>
        <v>通过</v>
      </c>
    </row>
    <row r="31" spans="1:9">
      <c r="A31" s="26" t="s">
        <v>46</v>
      </c>
      <c r="B31" t="s">
        <v>11</v>
      </c>
      <c r="C31" t="s">
        <v>12</v>
      </c>
      <c r="D31" t="s">
        <v>34</v>
      </c>
      <c r="E31" t="s">
        <v>9</v>
      </c>
      <c r="F31" s="23" t="str">
        <f t="shared" si="0"/>
        <v>深蓝</v>
      </c>
      <c r="G31" s="24">
        <f t="shared" si="1"/>
        <v>0</v>
      </c>
      <c r="H31" s="24">
        <f t="shared" si="2"/>
        <v>0</v>
      </c>
      <c r="I31" s="23" t="str">
        <f t="shared" si="3"/>
        <v>通过</v>
      </c>
    </row>
    <row r="32" spans="1:9">
      <c r="A32" s="26" t="s">
        <v>47</v>
      </c>
      <c r="B32" t="s">
        <v>6</v>
      </c>
      <c r="C32" t="s">
        <v>12</v>
      </c>
      <c r="D32" t="s">
        <v>22</v>
      </c>
      <c r="E32" t="s">
        <v>9</v>
      </c>
      <c r="F32" s="23" t="str">
        <f t="shared" si="0"/>
        <v>紫</v>
      </c>
      <c r="G32" s="24">
        <f t="shared" si="1"/>
        <v>0</v>
      </c>
      <c r="H32" s="24">
        <f t="shared" si="2"/>
        <v>0</v>
      </c>
      <c r="I32" s="23" t="str">
        <f t="shared" si="3"/>
        <v>通过</v>
      </c>
    </row>
    <row r="33" spans="1:9">
      <c r="A33" s="26" t="s">
        <v>48</v>
      </c>
      <c r="B33" t="s">
        <v>6</v>
      </c>
      <c r="C33" t="s">
        <v>12</v>
      </c>
      <c r="D33" t="s">
        <v>49</v>
      </c>
      <c r="E33" t="s">
        <v>9</v>
      </c>
      <c r="F33" s="23" t="str">
        <f t="shared" si="0"/>
        <v>浅绿</v>
      </c>
      <c r="G33" s="24">
        <f t="shared" si="1"/>
        <v>0</v>
      </c>
      <c r="H33" s="24">
        <f t="shared" si="2"/>
        <v>0</v>
      </c>
      <c r="I33" s="23" t="str">
        <f t="shared" si="3"/>
        <v>通过</v>
      </c>
    </row>
    <row r="34" spans="1:9">
      <c r="A34" s="26" t="s">
        <v>50</v>
      </c>
      <c r="B34" t="s">
        <v>6</v>
      </c>
      <c r="C34" t="s">
        <v>12</v>
      </c>
      <c r="D34" t="s">
        <v>29</v>
      </c>
      <c r="E34" t="s">
        <v>9</v>
      </c>
      <c r="F34" s="23" t="str">
        <f t="shared" ref="F34:F59" si="4">IF(D34="","未知",D34)</f>
        <v>深绿</v>
      </c>
      <c r="G34" s="24">
        <f t="shared" ref="G34:G59" si="5">IF(E34="风化",1,IF(E34="无风化",0,"检查"))</f>
        <v>0</v>
      </c>
      <c r="H34" s="24">
        <f t="shared" ref="H34:H59" si="6">IF(D34="",1,0)</f>
        <v>0</v>
      </c>
      <c r="I34" s="23" t="str">
        <f t="shared" ref="I34:I59" si="7">IF(AND(A34&lt;&gt;"",OR(B34="A",B34="B",B34="C"),OR(C34="高钾",C34="铅钡"),OR(E34="风化",E34="无风化"),COUNTIF($A$2:$A$59,A34)=1),"通过","检查")</f>
        <v>通过</v>
      </c>
    </row>
    <row r="35" spans="1:9">
      <c r="A35" s="26" t="s">
        <v>51</v>
      </c>
      <c r="B35" t="s">
        <v>6</v>
      </c>
      <c r="C35" t="s">
        <v>12</v>
      </c>
      <c r="D35" t="s">
        <v>29</v>
      </c>
      <c r="E35" t="s">
        <v>14</v>
      </c>
      <c r="F35" s="23" t="str">
        <f t="shared" si="4"/>
        <v>深绿</v>
      </c>
      <c r="G35" s="24">
        <f t="shared" si="5"/>
        <v>1</v>
      </c>
      <c r="H35" s="24">
        <f t="shared" si="6"/>
        <v>0</v>
      </c>
      <c r="I35" s="23" t="str">
        <f t="shared" si="7"/>
        <v>通过</v>
      </c>
    </row>
    <row r="36" spans="1:9">
      <c r="A36" s="26" t="s">
        <v>52</v>
      </c>
      <c r="B36" t="s">
        <v>6</v>
      </c>
      <c r="C36" t="s">
        <v>12</v>
      </c>
      <c r="D36" t="s">
        <v>49</v>
      </c>
      <c r="E36" t="s">
        <v>9</v>
      </c>
      <c r="F36" s="23" t="str">
        <f t="shared" si="4"/>
        <v>浅绿</v>
      </c>
      <c r="G36" s="24">
        <f t="shared" si="5"/>
        <v>0</v>
      </c>
      <c r="H36" s="24">
        <f t="shared" si="6"/>
        <v>0</v>
      </c>
      <c r="I36" s="23" t="str">
        <f t="shared" si="7"/>
        <v>通过</v>
      </c>
    </row>
    <row r="37" spans="1:9">
      <c r="A37" s="26" t="s">
        <v>53</v>
      </c>
      <c r="B37" t="s">
        <v>6</v>
      </c>
      <c r="C37" t="s">
        <v>12</v>
      </c>
      <c r="D37" t="s">
        <v>29</v>
      </c>
      <c r="E37" t="s">
        <v>14</v>
      </c>
      <c r="F37" s="23" t="str">
        <f t="shared" si="4"/>
        <v>深绿</v>
      </c>
      <c r="G37" s="24">
        <f t="shared" si="5"/>
        <v>1</v>
      </c>
      <c r="H37" s="24">
        <f t="shared" si="6"/>
        <v>0</v>
      </c>
      <c r="I37" s="23" t="str">
        <f t="shared" si="7"/>
        <v>通过</v>
      </c>
    </row>
    <row r="38" spans="1:9">
      <c r="A38" s="26" t="s">
        <v>54</v>
      </c>
      <c r="B38" t="s">
        <v>6</v>
      </c>
      <c r="C38" t="s">
        <v>12</v>
      </c>
      <c r="D38" t="s">
        <v>29</v>
      </c>
      <c r="E38" t="s">
        <v>9</v>
      </c>
      <c r="F38" s="23" t="str">
        <f t="shared" si="4"/>
        <v>深绿</v>
      </c>
      <c r="G38" s="24">
        <f t="shared" si="5"/>
        <v>0</v>
      </c>
      <c r="H38" s="24">
        <f t="shared" si="6"/>
        <v>0</v>
      </c>
      <c r="I38" s="23" t="str">
        <f t="shared" si="7"/>
        <v>通过</v>
      </c>
    </row>
    <row r="39" spans="1:9">
      <c r="A39" s="26" t="s">
        <v>55</v>
      </c>
      <c r="B39" t="s">
        <v>6</v>
      </c>
      <c r="C39" t="s">
        <v>12</v>
      </c>
      <c r="D39" t="s">
        <v>29</v>
      </c>
      <c r="E39" t="s">
        <v>14</v>
      </c>
      <c r="F39" s="23" t="str">
        <f t="shared" si="4"/>
        <v>深绿</v>
      </c>
      <c r="G39" s="24">
        <f t="shared" si="5"/>
        <v>1</v>
      </c>
      <c r="H39" s="24">
        <f t="shared" si="6"/>
        <v>0</v>
      </c>
      <c r="I39" s="23" t="str">
        <f t="shared" si="7"/>
        <v>通过</v>
      </c>
    </row>
    <row r="40" spans="1:9">
      <c r="A40" s="26" t="s">
        <v>56</v>
      </c>
      <c r="B40" t="s">
        <v>6</v>
      </c>
      <c r="C40" t="s">
        <v>12</v>
      </c>
      <c r="D40" t="s">
        <v>29</v>
      </c>
      <c r="E40" t="s">
        <v>14</v>
      </c>
      <c r="F40" s="23" t="str">
        <f t="shared" si="4"/>
        <v>深绿</v>
      </c>
      <c r="G40" s="24">
        <f t="shared" si="5"/>
        <v>1</v>
      </c>
      <c r="H40" s="24">
        <f t="shared" si="6"/>
        <v>0</v>
      </c>
      <c r="I40" s="23" t="str">
        <f t="shared" si="7"/>
        <v>通过</v>
      </c>
    </row>
    <row r="41" spans="1:9">
      <c r="A41" s="26" t="s">
        <v>57</v>
      </c>
      <c r="B41" t="s">
        <v>6</v>
      </c>
      <c r="C41" t="s">
        <v>12</v>
      </c>
      <c r="E41" t="s">
        <v>14</v>
      </c>
      <c r="F41" s="23" t="str">
        <f t="shared" si="4"/>
        <v>未知</v>
      </c>
      <c r="G41" s="24">
        <f t="shared" si="5"/>
        <v>1</v>
      </c>
      <c r="H41" s="24">
        <f t="shared" si="6"/>
        <v>1</v>
      </c>
      <c r="I41" s="23" t="str">
        <f t="shared" si="7"/>
        <v>通过</v>
      </c>
    </row>
    <row r="42" spans="1:9">
      <c r="A42" s="26" t="s">
        <v>58</v>
      </c>
      <c r="B42" t="s">
        <v>6</v>
      </c>
      <c r="C42" t="s">
        <v>12</v>
      </c>
      <c r="D42" t="s">
        <v>49</v>
      </c>
      <c r="E42" t="s">
        <v>14</v>
      </c>
      <c r="F42" s="23" t="str">
        <f t="shared" si="4"/>
        <v>浅绿</v>
      </c>
      <c r="G42" s="24">
        <f t="shared" si="5"/>
        <v>1</v>
      </c>
      <c r="H42" s="24">
        <f t="shared" si="6"/>
        <v>0</v>
      </c>
      <c r="I42" s="23" t="str">
        <f t="shared" si="7"/>
        <v>通过</v>
      </c>
    </row>
    <row r="43" spans="1:9">
      <c r="A43" s="26" t="s">
        <v>59</v>
      </c>
      <c r="B43" t="s">
        <v>11</v>
      </c>
      <c r="C43" t="s">
        <v>12</v>
      </c>
      <c r="D43" t="s">
        <v>13</v>
      </c>
      <c r="E43" t="s">
        <v>14</v>
      </c>
      <c r="F43" s="23" t="str">
        <f t="shared" si="4"/>
        <v>浅蓝</v>
      </c>
      <c r="G43" s="24">
        <f t="shared" si="5"/>
        <v>1</v>
      </c>
      <c r="H43" s="24">
        <f t="shared" si="6"/>
        <v>0</v>
      </c>
      <c r="I43" s="23" t="str">
        <f t="shared" si="7"/>
        <v>通过</v>
      </c>
    </row>
    <row r="44" spans="1:9">
      <c r="A44" s="26" t="s">
        <v>60</v>
      </c>
      <c r="B44" t="s">
        <v>6</v>
      </c>
      <c r="C44" t="s">
        <v>12</v>
      </c>
      <c r="D44" t="s">
        <v>13</v>
      </c>
      <c r="E44" t="s">
        <v>14</v>
      </c>
      <c r="F44" s="23" t="str">
        <f t="shared" si="4"/>
        <v>浅蓝</v>
      </c>
      <c r="G44" s="24">
        <f t="shared" si="5"/>
        <v>1</v>
      </c>
      <c r="H44" s="24">
        <f t="shared" si="6"/>
        <v>0</v>
      </c>
      <c r="I44" s="23" t="str">
        <f t="shared" si="7"/>
        <v>通过</v>
      </c>
    </row>
    <row r="45" spans="1:9">
      <c r="A45" s="26" t="s">
        <v>61</v>
      </c>
      <c r="B45" t="s">
        <v>11</v>
      </c>
      <c r="C45" t="s">
        <v>12</v>
      </c>
      <c r="D45" t="s">
        <v>13</v>
      </c>
      <c r="E45" t="s">
        <v>14</v>
      </c>
      <c r="F45" s="23" t="str">
        <f t="shared" si="4"/>
        <v>浅蓝</v>
      </c>
      <c r="G45" s="24">
        <f t="shared" si="5"/>
        <v>1</v>
      </c>
      <c r="H45" s="24">
        <f t="shared" si="6"/>
        <v>0</v>
      </c>
      <c r="I45" s="23" t="str">
        <f t="shared" si="7"/>
        <v>通过</v>
      </c>
    </row>
    <row r="46" spans="1:9">
      <c r="A46" s="26" t="s">
        <v>62</v>
      </c>
      <c r="B46" t="s">
        <v>11</v>
      </c>
      <c r="C46" t="s">
        <v>12</v>
      </c>
      <c r="D46" t="s">
        <v>13</v>
      </c>
      <c r="E46" t="s">
        <v>9</v>
      </c>
      <c r="F46" s="23" t="str">
        <f t="shared" si="4"/>
        <v>浅蓝</v>
      </c>
      <c r="G46" s="24">
        <f t="shared" si="5"/>
        <v>0</v>
      </c>
      <c r="H46" s="24">
        <f t="shared" si="6"/>
        <v>0</v>
      </c>
      <c r="I46" s="23" t="str">
        <f t="shared" si="7"/>
        <v>通过</v>
      </c>
    </row>
    <row r="47" spans="1:9">
      <c r="A47" s="26" t="s">
        <v>63</v>
      </c>
      <c r="B47" t="s">
        <v>11</v>
      </c>
      <c r="C47" t="s">
        <v>12</v>
      </c>
      <c r="D47" t="s">
        <v>13</v>
      </c>
      <c r="E47" t="s">
        <v>9</v>
      </c>
      <c r="F47" s="23" t="str">
        <f t="shared" si="4"/>
        <v>浅蓝</v>
      </c>
      <c r="G47" s="24">
        <f t="shared" si="5"/>
        <v>0</v>
      </c>
      <c r="H47" s="24">
        <f t="shared" si="6"/>
        <v>0</v>
      </c>
      <c r="I47" s="23" t="str">
        <f t="shared" si="7"/>
        <v>通过</v>
      </c>
    </row>
    <row r="48" spans="1:9">
      <c r="A48" s="26" t="s">
        <v>64</v>
      </c>
      <c r="B48" t="s">
        <v>11</v>
      </c>
      <c r="C48" t="s">
        <v>12</v>
      </c>
      <c r="D48" t="s">
        <v>13</v>
      </c>
      <c r="E48" t="s">
        <v>9</v>
      </c>
      <c r="F48" s="23" t="str">
        <f t="shared" si="4"/>
        <v>浅蓝</v>
      </c>
      <c r="G48" s="24">
        <f t="shared" si="5"/>
        <v>0</v>
      </c>
      <c r="H48" s="24">
        <f t="shared" si="6"/>
        <v>0</v>
      </c>
      <c r="I48" s="23" t="str">
        <f t="shared" si="7"/>
        <v>通过</v>
      </c>
    </row>
    <row r="49" spans="1:9">
      <c r="A49" s="26" t="s">
        <v>65</v>
      </c>
      <c r="B49" t="s">
        <v>11</v>
      </c>
      <c r="C49" t="s">
        <v>12</v>
      </c>
      <c r="E49" t="s">
        <v>14</v>
      </c>
      <c r="F49" s="23" t="str">
        <f t="shared" si="4"/>
        <v>未知</v>
      </c>
      <c r="G49" s="24">
        <f t="shared" si="5"/>
        <v>1</v>
      </c>
      <c r="H49" s="24">
        <f t="shared" si="6"/>
        <v>1</v>
      </c>
      <c r="I49" s="23" t="str">
        <f t="shared" si="7"/>
        <v>通过</v>
      </c>
    </row>
    <row r="50" spans="1:9">
      <c r="A50" s="26" t="s">
        <v>66</v>
      </c>
      <c r="B50" t="s">
        <v>11</v>
      </c>
      <c r="C50" t="s">
        <v>12</v>
      </c>
      <c r="D50" t="s">
        <v>67</v>
      </c>
      <c r="E50" t="s">
        <v>14</v>
      </c>
      <c r="F50" s="23" t="str">
        <f t="shared" si="4"/>
        <v>黑</v>
      </c>
      <c r="G50" s="24">
        <f t="shared" si="5"/>
        <v>1</v>
      </c>
      <c r="H50" s="24">
        <f t="shared" si="6"/>
        <v>0</v>
      </c>
      <c r="I50" s="23" t="str">
        <f t="shared" si="7"/>
        <v>通过</v>
      </c>
    </row>
    <row r="51" spans="1:9">
      <c r="A51" s="26" t="s">
        <v>68</v>
      </c>
      <c r="B51" t="s">
        <v>11</v>
      </c>
      <c r="C51" t="s">
        <v>12</v>
      </c>
      <c r="D51" t="s">
        <v>67</v>
      </c>
      <c r="E51" t="s">
        <v>14</v>
      </c>
      <c r="F51" s="23" t="str">
        <f t="shared" si="4"/>
        <v>黑</v>
      </c>
      <c r="G51" s="24">
        <f t="shared" si="5"/>
        <v>1</v>
      </c>
      <c r="H51" s="24">
        <f t="shared" si="6"/>
        <v>0</v>
      </c>
      <c r="I51" s="23" t="str">
        <f t="shared" si="7"/>
        <v>通过</v>
      </c>
    </row>
    <row r="52" spans="1:9">
      <c r="A52" s="26" t="s">
        <v>69</v>
      </c>
      <c r="B52" t="s">
        <v>6</v>
      </c>
      <c r="C52" t="s">
        <v>12</v>
      </c>
      <c r="D52" t="s">
        <v>13</v>
      </c>
      <c r="E52" t="s">
        <v>14</v>
      </c>
      <c r="F52" s="23" t="str">
        <f t="shared" si="4"/>
        <v>浅蓝</v>
      </c>
      <c r="G52" s="24">
        <f t="shared" si="5"/>
        <v>1</v>
      </c>
      <c r="H52" s="24">
        <f t="shared" si="6"/>
        <v>0</v>
      </c>
      <c r="I52" s="23" t="str">
        <f t="shared" si="7"/>
        <v>通过</v>
      </c>
    </row>
    <row r="53" spans="1:9">
      <c r="A53" s="26" t="s">
        <v>70</v>
      </c>
      <c r="B53" t="s">
        <v>6</v>
      </c>
      <c r="C53" t="s">
        <v>12</v>
      </c>
      <c r="D53" t="s">
        <v>13</v>
      </c>
      <c r="E53" t="s">
        <v>14</v>
      </c>
      <c r="F53" s="23" t="str">
        <f t="shared" si="4"/>
        <v>浅蓝</v>
      </c>
      <c r="G53" s="24">
        <f t="shared" si="5"/>
        <v>1</v>
      </c>
      <c r="H53" s="24">
        <f t="shared" si="6"/>
        <v>0</v>
      </c>
      <c r="I53" s="23" t="str">
        <f t="shared" si="7"/>
        <v>通过</v>
      </c>
    </row>
    <row r="54" spans="1:9">
      <c r="A54" s="26" t="s">
        <v>71</v>
      </c>
      <c r="B54" t="s">
        <v>11</v>
      </c>
      <c r="C54" t="s">
        <v>12</v>
      </c>
      <c r="D54" t="s">
        <v>13</v>
      </c>
      <c r="E54" t="s">
        <v>14</v>
      </c>
      <c r="F54" s="23" t="str">
        <f t="shared" si="4"/>
        <v>浅蓝</v>
      </c>
      <c r="G54" s="24">
        <f t="shared" si="5"/>
        <v>1</v>
      </c>
      <c r="H54" s="24">
        <f t="shared" si="6"/>
        <v>0</v>
      </c>
      <c r="I54" s="23" t="str">
        <f t="shared" si="7"/>
        <v>通过</v>
      </c>
    </row>
    <row r="55" spans="1:9">
      <c r="A55" s="26" t="s">
        <v>72</v>
      </c>
      <c r="B55" t="s">
        <v>6</v>
      </c>
      <c r="C55" t="s">
        <v>12</v>
      </c>
      <c r="D55" t="s">
        <v>13</v>
      </c>
      <c r="E55" t="s">
        <v>14</v>
      </c>
      <c r="F55" s="23" t="str">
        <f t="shared" si="4"/>
        <v>浅蓝</v>
      </c>
      <c r="G55" s="24">
        <f t="shared" si="5"/>
        <v>1</v>
      </c>
      <c r="H55" s="24">
        <f t="shared" si="6"/>
        <v>0</v>
      </c>
      <c r="I55" s="23" t="str">
        <f t="shared" si="7"/>
        <v>通过</v>
      </c>
    </row>
    <row r="56" spans="1:9">
      <c r="A56" s="26" t="s">
        <v>73</v>
      </c>
      <c r="B56" t="s">
        <v>6</v>
      </c>
      <c r="C56" t="s">
        <v>12</v>
      </c>
      <c r="D56" t="s">
        <v>74</v>
      </c>
      <c r="E56" t="s">
        <v>9</v>
      </c>
      <c r="F56" s="23" t="str">
        <f t="shared" si="4"/>
        <v>绿</v>
      </c>
      <c r="G56" s="24">
        <f t="shared" si="5"/>
        <v>0</v>
      </c>
      <c r="H56" s="24">
        <f t="shared" si="6"/>
        <v>0</v>
      </c>
      <c r="I56" s="23" t="str">
        <f t="shared" si="7"/>
        <v>通过</v>
      </c>
    </row>
    <row r="57" spans="1:9">
      <c r="A57" s="26" t="s">
        <v>75</v>
      </c>
      <c r="B57" t="s">
        <v>6</v>
      </c>
      <c r="C57" t="s">
        <v>12</v>
      </c>
      <c r="D57" t="s">
        <v>8</v>
      </c>
      <c r="E57" t="s">
        <v>14</v>
      </c>
      <c r="F57" s="23" t="str">
        <f t="shared" si="4"/>
        <v>蓝绿</v>
      </c>
      <c r="G57" s="24">
        <f t="shared" si="5"/>
        <v>1</v>
      </c>
      <c r="H57" s="24">
        <f t="shared" si="6"/>
        <v>0</v>
      </c>
      <c r="I57" s="23" t="str">
        <f t="shared" si="7"/>
        <v>通过</v>
      </c>
    </row>
    <row r="58" spans="1:9">
      <c r="A58" s="26" t="s">
        <v>76</v>
      </c>
      <c r="B58" t="s">
        <v>6</v>
      </c>
      <c r="C58" t="s">
        <v>12</v>
      </c>
      <c r="D58" t="s">
        <v>8</v>
      </c>
      <c r="E58" t="s">
        <v>14</v>
      </c>
      <c r="F58" s="23" t="str">
        <f t="shared" si="4"/>
        <v>蓝绿</v>
      </c>
      <c r="G58" s="24">
        <f t="shared" si="5"/>
        <v>1</v>
      </c>
      <c r="H58" s="24">
        <f t="shared" si="6"/>
        <v>0</v>
      </c>
      <c r="I58" s="23" t="str">
        <f t="shared" si="7"/>
        <v>通过</v>
      </c>
    </row>
    <row r="59" spans="1:9">
      <c r="A59" s="26" t="s">
        <v>77</v>
      </c>
      <c r="B59" t="s">
        <v>6</v>
      </c>
      <c r="C59" t="s">
        <v>12</v>
      </c>
      <c r="E59" t="s">
        <v>14</v>
      </c>
      <c r="F59" s="23" t="str">
        <f t="shared" si="4"/>
        <v>未知</v>
      </c>
      <c r="G59" s="24">
        <f t="shared" si="5"/>
        <v>1</v>
      </c>
      <c r="H59" s="24">
        <f t="shared" si="6"/>
        <v>1</v>
      </c>
      <c r="I59" s="23" t="str">
        <f t="shared" si="7"/>
        <v>通过</v>
      </c>
    </row>
  </sheetData>
  <phoneticPr fontId="17" type="noConversion"/>
  <conditionalFormatting sqref="I2:I59">
    <cfRule type="containsText" dxfId="3" priority="1" operator="containsText" text="检查"/>
  </conditionalFormatting>
  <dataValidations count="3">
    <dataValidation type="list" sqref="B2:B59" xr:uid="{00000000-0002-0000-0300-000000000000}">
      <formula1>"A,B,C"</formula1>
    </dataValidation>
    <dataValidation type="list" sqref="C2:C59" xr:uid="{00000000-0002-0000-0300-000001000000}">
      <formula1>"高钾,铅钡"</formula1>
    </dataValidation>
    <dataValidation type="list" sqref="E2:E59" xr:uid="{00000000-0002-0000-0300-000002000000}">
      <formula1>"风化,无风化"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0"/>
  <sheetViews>
    <sheetView showGridLines="0" topLeftCell="P37" workbookViewId="0">
      <selection activeCell="W19" sqref="W19"/>
    </sheetView>
  </sheetViews>
  <sheetFormatPr baseColWidth="10" defaultColWidth="8.83203125" defaultRowHeight="14"/>
  <cols>
    <col min="1" max="1" width="18" customWidth="1"/>
    <col min="2" max="15" width="14" customWidth="1"/>
    <col min="16" max="16" width="11" customWidth="1"/>
    <col min="17" max="20" width="17" customWidth="1"/>
    <col min="21" max="23" width="15" customWidth="1"/>
    <col min="24" max="38" width="17" customWidth="1"/>
  </cols>
  <sheetData>
    <row r="1" spans="1:38" ht="34" customHeight="1">
      <c r="A1" s="25" t="s">
        <v>78</v>
      </c>
      <c r="B1" s="25" t="s">
        <v>142</v>
      </c>
      <c r="C1" s="25" t="s">
        <v>143</v>
      </c>
      <c r="D1" s="25" t="s">
        <v>144</v>
      </c>
      <c r="E1" s="25" t="s">
        <v>145</v>
      </c>
      <c r="F1" s="25" t="s">
        <v>146</v>
      </c>
      <c r="G1" s="25" t="s">
        <v>147</v>
      </c>
      <c r="H1" s="25" t="s">
        <v>148</v>
      </c>
      <c r="I1" s="25" t="s">
        <v>149</v>
      </c>
      <c r="J1" s="25" t="s">
        <v>150</v>
      </c>
      <c r="K1" s="25" t="s">
        <v>151</v>
      </c>
      <c r="L1" s="25" t="s">
        <v>152</v>
      </c>
      <c r="M1" s="25" t="s">
        <v>153</v>
      </c>
      <c r="N1" s="25" t="s">
        <v>154</v>
      </c>
      <c r="O1" s="25" t="s">
        <v>155</v>
      </c>
      <c r="P1" s="25" t="s">
        <v>0</v>
      </c>
      <c r="Q1" s="25" t="s">
        <v>156</v>
      </c>
      <c r="R1" s="25" t="s">
        <v>157</v>
      </c>
      <c r="S1" s="25" t="s">
        <v>158</v>
      </c>
      <c r="T1" s="25" t="s">
        <v>159</v>
      </c>
      <c r="U1" s="25" t="s">
        <v>160</v>
      </c>
      <c r="V1" s="25" t="s">
        <v>161</v>
      </c>
      <c r="W1" s="25" t="s">
        <v>162</v>
      </c>
      <c r="X1" s="25" t="s">
        <v>163</v>
      </c>
      <c r="Y1" s="25" t="s">
        <v>164</v>
      </c>
      <c r="Z1" s="25" t="s">
        <v>165</v>
      </c>
      <c r="AA1" s="25" t="s">
        <v>166</v>
      </c>
      <c r="AB1" s="25" t="s">
        <v>167</v>
      </c>
      <c r="AC1" s="25" t="s">
        <v>168</v>
      </c>
      <c r="AD1" s="25" t="s">
        <v>169</v>
      </c>
      <c r="AE1" s="25" t="s">
        <v>170</v>
      </c>
      <c r="AF1" s="25" t="s">
        <v>171</v>
      </c>
      <c r="AG1" s="25" t="s">
        <v>172</v>
      </c>
      <c r="AH1" s="25" t="s">
        <v>173</v>
      </c>
      <c r="AI1" s="25" t="s">
        <v>174</v>
      </c>
      <c r="AJ1" s="25" t="s">
        <v>175</v>
      </c>
      <c r="AK1" s="25" t="s">
        <v>176</v>
      </c>
      <c r="AL1" s="25" t="s">
        <v>177</v>
      </c>
    </row>
    <row r="2" spans="1:38">
      <c r="A2" s="26" t="s">
        <v>5</v>
      </c>
      <c r="B2" s="27">
        <v>69.33</v>
      </c>
      <c r="C2" s="27"/>
      <c r="D2" s="27">
        <v>9.99</v>
      </c>
      <c r="E2" s="27">
        <v>6.32</v>
      </c>
      <c r="F2" s="27">
        <v>0.87</v>
      </c>
      <c r="G2" s="27">
        <v>3.93</v>
      </c>
      <c r="H2" s="27">
        <v>1.74</v>
      </c>
      <c r="I2" s="27">
        <v>3.87</v>
      </c>
      <c r="J2" s="27"/>
      <c r="K2" s="27"/>
      <c r="L2" s="27">
        <v>1.17</v>
      </c>
      <c r="M2" s="27"/>
      <c r="N2" s="27"/>
      <c r="O2" s="27">
        <v>0.39</v>
      </c>
      <c r="P2" s="31" t="s">
        <v>5</v>
      </c>
      <c r="Q2" s="23" t="str">
        <f t="shared" ref="Q2:Q33" si="0">IF(ISNUMBER(SEARCH("未风化点",A2)),"未风化点",IF(ISNUMBER(SEARCH("严重风化点",A2)),"严重风化点",IF(ISNUMBER(SEARCH("部位",A2)),"不同部位","普通采样点")))</f>
        <v>普通采样点</v>
      </c>
      <c r="R2" s="23" t="str">
        <f>VLOOKUP(P2,表单1_清洗!$A$2:$E$59,3,FALSE)</f>
        <v>高钾</v>
      </c>
      <c r="S2" s="23" t="str">
        <f>VLOOKUP(P2,表单1_清洗!$A$2:$E$59,5,FALSE)</f>
        <v>无风化</v>
      </c>
      <c r="T2" s="23" t="str">
        <f t="shared" ref="T2:T33" si="1">IF(ISNUMBER(SEARCH("未风化点",A2)),"无风化",IF(ISNUMBER(SEARCH("严重风化点",A2)),"风化",S2))</f>
        <v>无风化</v>
      </c>
      <c r="U2" s="29">
        <f t="shared" ref="U2:U33" si="2">SUM(B2:O2)</f>
        <v>97.61</v>
      </c>
      <c r="V2" s="23" t="str">
        <f t="shared" ref="V2:V33" si="3">IF(AND(U2&gt;=85,U2&lt;=105),"有效","无效")</f>
        <v>有效</v>
      </c>
      <c r="W2" s="23">
        <f t="shared" ref="W2:W33" si="4">COUNTBLANK(B2:O2)+COUNTIF(B2:O2,0)</f>
        <v>5</v>
      </c>
      <c r="X2" s="30">
        <f t="shared" ref="X2:X33" si="5">IF($V2="无效","",IF(B2="",0,B2/$U2*100))</f>
        <v>71.027558651777483</v>
      </c>
      <c r="Y2" s="30">
        <f t="shared" ref="Y2:Y33" si="6">IF($V2="无效","",IF(C2="",0,C2/$U2*100))</f>
        <v>0</v>
      </c>
      <c r="Z2" s="30">
        <f t="shared" ref="Z2:Z33" si="7">IF($V2="无效","",IF(D2="",0,D2/$U2*100))</f>
        <v>10.234607109927261</v>
      </c>
      <c r="AA2" s="30">
        <f t="shared" ref="AA2:AA33" si="8">IF($V2="无效","",IF(E2="",0,E2/$U2*100))</f>
        <v>6.4747464399139432</v>
      </c>
      <c r="AB2" s="30">
        <f t="shared" ref="AB2:AB33" si="9">IF($V2="无效","",IF(F2="",0,F2/$U2*100))</f>
        <v>0.8913021206843561</v>
      </c>
      <c r="AC2" s="30">
        <f t="shared" ref="AC2:AC33" si="10">IF($V2="无效","",IF(G2="",0,G2/$U2*100))</f>
        <v>4.0262268210224361</v>
      </c>
      <c r="AD2" s="30">
        <f t="shared" ref="AD2:AD33" si="11">IF($V2="无效","",IF(H2="",0,H2/$U2*100))</f>
        <v>1.7826042413687122</v>
      </c>
      <c r="AE2" s="30">
        <f t="shared" ref="AE2:AE33" si="12">IF($V2="无效","",IF(I2="",0,I2/$U2*100))</f>
        <v>3.9647577092511015</v>
      </c>
      <c r="AF2" s="30">
        <f t="shared" ref="AF2:AF33" si="13">IF($V2="无效","",IF(J2="",0,J2/$U2*100))</f>
        <v>0</v>
      </c>
      <c r="AG2" s="30">
        <f t="shared" ref="AG2:AG33" si="14">IF($V2="无效","",IF(K2="",0,K2/$U2*100))</f>
        <v>0</v>
      </c>
      <c r="AH2" s="30">
        <f t="shared" ref="AH2:AH33" si="15">IF($V2="无效","",IF(L2="",0,L2/$U2*100))</f>
        <v>1.1986476795410306</v>
      </c>
      <c r="AI2" s="30">
        <f t="shared" ref="AI2:AI33" si="16">IF($V2="无效","",IF(M2="",0,M2/$U2*100))</f>
        <v>0</v>
      </c>
      <c r="AJ2" s="30">
        <f t="shared" ref="AJ2:AJ33" si="17">IF($V2="无效","",IF(N2="",0,N2/$U2*100))</f>
        <v>0</v>
      </c>
      <c r="AK2" s="30">
        <f t="shared" ref="AK2:AK33" si="18">IF($V2="无效","",IF(O2="",0,O2/$U2*100))</f>
        <v>0.39954922651367691</v>
      </c>
      <c r="AL2" s="30">
        <f t="shared" ref="AL2:AL33" si="19">IF(V2="有效",SUM(X2:AK2),"")</f>
        <v>100</v>
      </c>
    </row>
    <row r="3" spans="1:38">
      <c r="A3" s="26" t="s">
        <v>10</v>
      </c>
      <c r="B3" s="27">
        <v>36.28</v>
      </c>
      <c r="C3" s="27"/>
      <c r="D3" s="27">
        <v>1.05</v>
      </c>
      <c r="E3" s="27">
        <v>2.34</v>
      </c>
      <c r="F3" s="27">
        <v>1.18</v>
      </c>
      <c r="G3" s="27">
        <v>5.73</v>
      </c>
      <c r="H3" s="27">
        <v>1.86</v>
      </c>
      <c r="I3" s="27">
        <v>0.26</v>
      </c>
      <c r="J3" s="27">
        <v>47.43</v>
      </c>
      <c r="K3" s="27"/>
      <c r="L3" s="27">
        <v>3.57</v>
      </c>
      <c r="M3" s="27">
        <v>0.19</v>
      </c>
      <c r="N3" s="27"/>
      <c r="O3" s="27"/>
      <c r="P3" s="31" t="s">
        <v>10</v>
      </c>
      <c r="Q3" s="23" t="str">
        <f t="shared" si="0"/>
        <v>普通采样点</v>
      </c>
      <c r="R3" s="23" t="str">
        <f>VLOOKUP(P3,表单1_清洗!$A$2:$E$59,3,FALSE)</f>
        <v>铅钡</v>
      </c>
      <c r="S3" s="23" t="str">
        <f>VLOOKUP(P3,表单1_清洗!$A$2:$E$59,5,FALSE)</f>
        <v>风化</v>
      </c>
      <c r="T3" s="23" t="str">
        <f t="shared" si="1"/>
        <v>风化</v>
      </c>
      <c r="U3" s="29">
        <f t="shared" si="2"/>
        <v>99.889999999999986</v>
      </c>
      <c r="V3" s="23" t="str">
        <f t="shared" si="3"/>
        <v>有效</v>
      </c>
      <c r="W3" s="23">
        <f t="shared" si="4"/>
        <v>4</v>
      </c>
      <c r="X3" s="30">
        <f t="shared" si="5"/>
        <v>36.31995194714186</v>
      </c>
      <c r="Y3" s="30">
        <f t="shared" si="6"/>
        <v>0</v>
      </c>
      <c r="Z3" s="30">
        <f t="shared" si="7"/>
        <v>1.0511562718990892</v>
      </c>
      <c r="AA3" s="30">
        <f t="shared" si="8"/>
        <v>2.3425768345179701</v>
      </c>
      <c r="AB3" s="30">
        <f t="shared" si="9"/>
        <v>1.1812994293723096</v>
      </c>
      <c r="AC3" s="30">
        <f t="shared" si="10"/>
        <v>5.7363099409350298</v>
      </c>
      <c r="AD3" s="30">
        <f t="shared" si="11"/>
        <v>1.8620482530783866</v>
      </c>
      <c r="AE3" s="30">
        <f t="shared" si="12"/>
        <v>0.26028631494644111</v>
      </c>
      <c r="AF3" s="30">
        <f t="shared" si="13"/>
        <v>47.48223045349885</v>
      </c>
      <c r="AG3" s="30">
        <f t="shared" si="14"/>
        <v>0</v>
      </c>
      <c r="AH3" s="30">
        <f t="shared" si="15"/>
        <v>3.5739313244569026</v>
      </c>
      <c r="AI3" s="30">
        <f t="shared" si="16"/>
        <v>0.19020923015316851</v>
      </c>
      <c r="AJ3" s="30">
        <f t="shared" si="17"/>
        <v>0</v>
      </c>
      <c r="AK3" s="30">
        <f t="shared" si="18"/>
        <v>0</v>
      </c>
      <c r="AL3" s="30">
        <f t="shared" si="19"/>
        <v>100.00000000000001</v>
      </c>
    </row>
    <row r="4" spans="1:38">
      <c r="A4" s="26" t="s">
        <v>93</v>
      </c>
      <c r="B4" s="27">
        <v>87.05</v>
      </c>
      <c r="C4" s="27"/>
      <c r="D4" s="27">
        <v>5.19</v>
      </c>
      <c r="E4" s="27">
        <v>2.0099999999999998</v>
      </c>
      <c r="F4" s="27"/>
      <c r="G4" s="27">
        <v>4.0599999999999996</v>
      </c>
      <c r="H4" s="27"/>
      <c r="I4" s="27">
        <v>0.78</v>
      </c>
      <c r="J4" s="27">
        <v>0.25</v>
      </c>
      <c r="K4" s="27"/>
      <c r="L4" s="27">
        <v>0.66</v>
      </c>
      <c r="M4" s="27"/>
      <c r="N4" s="27"/>
      <c r="O4" s="27"/>
      <c r="P4" s="31" t="s">
        <v>15</v>
      </c>
      <c r="Q4" s="23" t="str">
        <f t="shared" si="0"/>
        <v>不同部位</v>
      </c>
      <c r="R4" s="23" t="str">
        <f>VLOOKUP(P4,表单1_清洗!$A$2:$E$59,3,FALSE)</f>
        <v>高钾</v>
      </c>
      <c r="S4" s="23" t="str">
        <f>VLOOKUP(P4,表单1_清洗!$A$2:$E$59,5,FALSE)</f>
        <v>无风化</v>
      </c>
      <c r="T4" s="23" t="str">
        <f t="shared" si="1"/>
        <v>无风化</v>
      </c>
      <c r="U4" s="29">
        <f t="shared" si="2"/>
        <v>100</v>
      </c>
      <c r="V4" s="23" t="str">
        <f t="shared" si="3"/>
        <v>有效</v>
      </c>
      <c r="W4" s="23">
        <f t="shared" si="4"/>
        <v>7</v>
      </c>
      <c r="X4" s="30">
        <f t="shared" si="5"/>
        <v>87.05</v>
      </c>
      <c r="Y4" s="30">
        <f t="shared" si="6"/>
        <v>0</v>
      </c>
      <c r="Z4" s="30">
        <f t="shared" si="7"/>
        <v>5.19</v>
      </c>
      <c r="AA4" s="30">
        <f t="shared" si="8"/>
        <v>2.0099999999999998</v>
      </c>
      <c r="AB4" s="30">
        <f t="shared" si="9"/>
        <v>0</v>
      </c>
      <c r="AC4" s="30">
        <f t="shared" si="10"/>
        <v>4.0599999999999996</v>
      </c>
      <c r="AD4" s="30">
        <f t="shared" si="11"/>
        <v>0</v>
      </c>
      <c r="AE4" s="30">
        <f t="shared" si="12"/>
        <v>0.78</v>
      </c>
      <c r="AF4" s="30">
        <f t="shared" si="13"/>
        <v>0.25</v>
      </c>
      <c r="AG4" s="30">
        <f t="shared" si="14"/>
        <v>0</v>
      </c>
      <c r="AH4" s="30">
        <f t="shared" si="15"/>
        <v>0.66</v>
      </c>
      <c r="AI4" s="30">
        <f t="shared" si="16"/>
        <v>0</v>
      </c>
      <c r="AJ4" s="30">
        <f t="shared" si="17"/>
        <v>0</v>
      </c>
      <c r="AK4" s="30">
        <f t="shared" si="18"/>
        <v>0</v>
      </c>
      <c r="AL4" s="30">
        <f t="shared" si="19"/>
        <v>100</v>
      </c>
    </row>
    <row r="5" spans="1:38">
      <c r="A5" s="26" t="s">
        <v>94</v>
      </c>
      <c r="B5" s="27">
        <v>61.71</v>
      </c>
      <c r="C5" s="27"/>
      <c r="D5" s="27">
        <v>12.37</v>
      </c>
      <c r="E5" s="27">
        <v>5.87</v>
      </c>
      <c r="F5" s="27">
        <v>1.1100000000000001</v>
      </c>
      <c r="G5" s="27">
        <v>5.5</v>
      </c>
      <c r="H5" s="27">
        <v>2.16</v>
      </c>
      <c r="I5" s="27">
        <v>5.09</v>
      </c>
      <c r="J5" s="27">
        <v>1.41</v>
      </c>
      <c r="K5" s="27">
        <v>2.86</v>
      </c>
      <c r="L5" s="27">
        <v>0.7</v>
      </c>
      <c r="M5" s="27">
        <v>0.1</v>
      </c>
      <c r="N5" s="27"/>
      <c r="O5" s="27"/>
      <c r="P5" s="31" t="s">
        <v>15</v>
      </c>
      <c r="Q5" s="23" t="str">
        <f t="shared" si="0"/>
        <v>不同部位</v>
      </c>
      <c r="R5" s="23" t="str">
        <f>VLOOKUP(P5,表单1_清洗!$A$2:$E$59,3,FALSE)</f>
        <v>高钾</v>
      </c>
      <c r="S5" s="23" t="str">
        <f>VLOOKUP(P5,表单1_清洗!$A$2:$E$59,5,FALSE)</f>
        <v>无风化</v>
      </c>
      <c r="T5" s="23" t="str">
        <f t="shared" si="1"/>
        <v>无风化</v>
      </c>
      <c r="U5" s="29">
        <f t="shared" si="2"/>
        <v>98.88</v>
      </c>
      <c r="V5" s="23" t="str">
        <f t="shared" si="3"/>
        <v>有效</v>
      </c>
      <c r="W5" s="23">
        <f t="shared" si="4"/>
        <v>3</v>
      </c>
      <c r="X5" s="30">
        <f t="shared" si="5"/>
        <v>62.408980582524279</v>
      </c>
      <c r="Y5" s="30">
        <f t="shared" si="6"/>
        <v>0</v>
      </c>
      <c r="Z5" s="30">
        <f t="shared" si="7"/>
        <v>12.510113268608414</v>
      </c>
      <c r="AA5" s="30">
        <f t="shared" si="8"/>
        <v>5.9364886731391593</v>
      </c>
      <c r="AB5" s="30">
        <f t="shared" si="9"/>
        <v>1.1225728155339807</v>
      </c>
      <c r="AC5" s="30">
        <f t="shared" si="10"/>
        <v>5.5622977346278324</v>
      </c>
      <c r="AD5" s="30">
        <f t="shared" si="11"/>
        <v>2.1844660194174756</v>
      </c>
      <c r="AE5" s="30">
        <f t="shared" si="12"/>
        <v>5.1476537216828477</v>
      </c>
      <c r="AF5" s="30">
        <f t="shared" si="13"/>
        <v>1.4259708737864079</v>
      </c>
      <c r="AG5" s="30">
        <f t="shared" si="14"/>
        <v>2.8923948220064726</v>
      </c>
      <c r="AH5" s="30">
        <f t="shared" si="15"/>
        <v>0.70792880258899682</v>
      </c>
      <c r="AI5" s="30">
        <f t="shared" si="16"/>
        <v>0.10113268608414241</v>
      </c>
      <c r="AJ5" s="30">
        <f t="shared" si="17"/>
        <v>0</v>
      </c>
      <c r="AK5" s="30">
        <f t="shared" si="18"/>
        <v>0</v>
      </c>
      <c r="AL5" s="30">
        <f t="shared" si="19"/>
        <v>100</v>
      </c>
    </row>
    <row r="6" spans="1:38">
      <c r="A6" s="26" t="s">
        <v>16</v>
      </c>
      <c r="B6" s="27">
        <v>65.88</v>
      </c>
      <c r="C6" s="27"/>
      <c r="D6" s="27">
        <v>9.67</v>
      </c>
      <c r="E6" s="27">
        <v>7.12</v>
      </c>
      <c r="F6" s="27">
        <v>1.56</v>
      </c>
      <c r="G6" s="27">
        <v>6.44</v>
      </c>
      <c r="H6" s="27">
        <v>2.06</v>
      </c>
      <c r="I6" s="27">
        <v>2.1800000000000002</v>
      </c>
      <c r="J6" s="27"/>
      <c r="K6" s="27"/>
      <c r="L6" s="27">
        <v>0.79</v>
      </c>
      <c r="M6" s="27"/>
      <c r="N6" s="27"/>
      <c r="O6" s="27">
        <v>0.36</v>
      </c>
      <c r="P6" s="31" t="s">
        <v>16</v>
      </c>
      <c r="Q6" s="23" t="str">
        <f t="shared" si="0"/>
        <v>普通采样点</v>
      </c>
      <c r="R6" s="23" t="str">
        <f>VLOOKUP(P6,表单1_清洗!$A$2:$E$59,3,FALSE)</f>
        <v>高钾</v>
      </c>
      <c r="S6" s="23" t="str">
        <f>VLOOKUP(P6,表单1_清洗!$A$2:$E$59,5,FALSE)</f>
        <v>无风化</v>
      </c>
      <c r="T6" s="23" t="str">
        <f t="shared" si="1"/>
        <v>无风化</v>
      </c>
      <c r="U6" s="29">
        <f t="shared" si="2"/>
        <v>96.060000000000016</v>
      </c>
      <c r="V6" s="23" t="str">
        <f t="shared" si="3"/>
        <v>有效</v>
      </c>
      <c r="W6" s="23">
        <f t="shared" si="4"/>
        <v>5</v>
      </c>
      <c r="X6" s="30">
        <f t="shared" si="5"/>
        <v>68.582136164896923</v>
      </c>
      <c r="Y6" s="30">
        <f t="shared" si="6"/>
        <v>0</v>
      </c>
      <c r="Z6" s="30">
        <f t="shared" si="7"/>
        <v>10.066625026025399</v>
      </c>
      <c r="AA6" s="30">
        <f t="shared" si="8"/>
        <v>7.4120341453258369</v>
      </c>
      <c r="AB6" s="30">
        <f t="shared" si="9"/>
        <v>1.6239850093691439</v>
      </c>
      <c r="AC6" s="30">
        <f t="shared" si="10"/>
        <v>6.7041432438059543</v>
      </c>
      <c r="AD6" s="30">
        <f t="shared" si="11"/>
        <v>2.1444930251925878</v>
      </c>
      <c r="AE6" s="30">
        <f t="shared" si="12"/>
        <v>2.2694149489902142</v>
      </c>
      <c r="AF6" s="30">
        <f t="shared" si="13"/>
        <v>0</v>
      </c>
      <c r="AG6" s="30">
        <f t="shared" si="14"/>
        <v>0</v>
      </c>
      <c r="AH6" s="30">
        <f t="shared" si="15"/>
        <v>0.82240266500104087</v>
      </c>
      <c r="AI6" s="30">
        <f t="shared" si="16"/>
        <v>0</v>
      </c>
      <c r="AJ6" s="30">
        <f t="shared" si="17"/>
        <v>0</v>
      </c>
      <c r="AK6" s="30">
        <f t="shared" si="18"/>
        <v>0.37476577139287937</v>
      </c>
      <c r="AL6" s="30">
        <f t="shared" si="19"/>
        <v>99.999999999999986</v>
      </c>
    </row>
    <row r="7" spans="1:38">
      <c r="A7" s="26" t="s">
        <v>17</v>
      </c>
      <c r="B7" s="27">
        <v>61.58</v>
      </c>
      <c r="C7" s="27"/>
      <c r="D7" s="27">
        <v>10.95</v>
      </c>
      <c r="E7" s="27">
        <v>7.35</v>
      </c>
      <c r="F7" s="27">
        <v>1.77</v>
      </c>
      <c r="G7" s="27">
        <v>7.5</v>
      </c>
      <c r="H7" s="27">
        <v>2.62</v>
      </c>
      <c r="I7" s="27">
        <v>3.27</v>
      </c>
      <c r="J7" s="27"/>
      <c r="K7" s="27"/>
      <c r="L7" s="27">
        <v>0.94</v>
      </c>
      <c r="M7" s="27">
        <v>0.06</v>
      </c>
      <c r="N7" s="27"/>
      <c r="O7" s="27">
        <v>0.47</v>
      </c>
      <c r="P7" s="31" t="s">
        <v>17</v>
      </c>
      <c r="Q7" s="23" t="str">
        <f t="shared" si="0"/>
        <v>普通采样点</v>
      </c>
      <c r="R7" s="23" t="str">
        <f>VLOOKUP(P7,表单1_清洗!$A$2:$E$59,3,FALSE)</f>
        <v>高钾</v>
      </c>
      <c r="S7" s="23" t="str">
        <f>VLOOKUP(P7,表单1_清洗!$A$2:$E$59,5,FALSE)</f>
        <v>无风化</v>
      </c>
      <c r="T7" s="23" t="str">
        <f t="shared" si="1"/>
        <v>无风化</v>
      </c>
      <c r="U7" s="29">
        <f t="shared" si="2"/>
        <v>96.509999999999991</v>
      </c>
      <c r="V7" s="23" t="str">
        <f t="shared" si="3"/>
        <v>有效</v>
      </c>
      <c r="W7" s="23">
        <f t="shared" si="4"/>
        <v>4</v>
      </c>
      <c r="X7" s="30">
        <f t="shared" si="5"/>
        <v>63.806859392809031</v>
      </c>
      <c r="Y7" s="30">
        <f t="shared" si="6"/>
        <v>0</v>
      </c>
      <c r="Z7" s="30">
        <f t="shared" si="7"/>
        <v>11.345974510413429</v>
      </c>
      <c r="AA7" s="30">
        <f t="shared" si="8"/>
        <v>7.6157911097295621</v>
      </c>
      <c r="AB7" s="30">
        <f t="shared" si="9"/>
        <v>1.834006838669568</v>
      </c>
      <c r="AC7" s="30">
        <f t="shared" si="10"/>
        <v>7.7712154180913897</v>
      </c>
      <c r="AD7" s="30">
        <f t="shared" si="11"/>
        <v>2.7147445860532593</v>
      </c>
      <c r="AE7" s="30">
        <f t="shared" si="12"/>
        <v>3.3882499222878462</v>
      </c>
      <c r="AF7" s="30">
        <f t="shared" si="13"/>
        <v>0</v>
      </c>
      <c r="AG7" s="30">
        <f t="shared" si="14"/>
        <v>0</v>
      </c>
      <c r="AH7" s="30">
        <f t="shared" si="15"/>
        <v>0.97399233240078753</v>
      </c>
      <c r="AI7" s="30">
        <f t="shared" si="16"/>
        <v>6.2169723344731122E-2</v>
      </c>
      <c r="AJ7" s="30">
        <f t="shared" si="17"/>
        <v>0</v>
      </c>
      <c r="AK7" s="30">
        <f t="shared" si="18"/>
        <v>0.48699616620039377</v>
      </c>
      <c r="AL7" s="30">
        <f t="shared" si="19"/>
        <v>99.999999999999986</v>
      </c>
    </row>
    <row r="8" spans="1:38">
      <c r="A8" s="26" t="s">
        <v>95</v>
      </c>
      <c r="B8" s="27">
        <v>67.650000000000006</v>
      </c>
      <c r="C8" s="27"/>
      <c r="D8" s="27">
        <v>7.37</v>
      </c>
      <c r="E8" s="27"/>
      <c r="F8" s="27">
        <v>1.98</v>
      </c>
      <c r="G8" s="27">
        <v>11.15</v>
      </c>
      <c r="H8" s="27">
        <v>2.39</v>
      </c>
      <c r="I8" s="27">
        <v>2.5099999999999998</v>
      </c>
      <c r="J8" s="27">
        <v>0.2</v>
      </c>
      <c r="K8" s="27">
        <v>1.38</v>
      </c>
      <c r="L8" s="27">
        <v>4.18</v>
      </c>
      <c r="M8" s="27">
        <v>0.11</v>
      </c>
      <c r="N8" s="27"/>
      <c r="O8" s="27"/>
      <c r="P8" s="31" t="s">
        <v>18</v>
      </c>
      <c r="Q8" s="23" t="str">
        <f t="shared" si="0"/>
        <v>不同部位</v>
      </c>
      <c r="R8" s="23" t="str">
        <f>VLOOKUP(P8,表单1_清洗!$A$2:$E$59,3,FALSE)</f>
        <v>高钾</v>
      </c>
      <c r="S8" s="23" t="str">
        <f>VLOOKUP(P8,表单1_清洗!$A$2:$E$59,5,FALSE)</f>
        <v>无风化</v>
      </c>
      <c r="T8" s="23" t="str">
        <f t="shared" si="1"/>
        <v>无风化</v>
      </c>
      <c r="U8" s="29">
        <f t="shared" si="2"/>
        <v>98.92000000000003</v>
      </c>
      <c r="V8" s="23" t="str">
        <f t="shared" si="3"/>
        <v>有效</v>
      </c>
      <c r="W8" s="23">
        <f t="shared" si="4"/>
        <v>4</v>
      </c>
      <c r="X8" s="30">
        <f t="shared" si="5"/>
        <v>68.388596845936107</v>
      </c>
      <c r="Y8" s="30">
        <f t="shared" si="6"/>
        <v>0</v>
      </c>
      <c r="Z8" s="30">
        <f t="shared" si="7"/>
        <v>7.4504650222401922</v>
      </c>
      <c r="AA8" s="30">
        <f t="shared" si="8"/>
        <v>0</v>
      </c>
      <c r="AB8" s="30">
        <f t="shared" si="9"/>
        <v>2.0016174686615438</v>
      </c>
      <c r="AC8" s="30">
        <f t="shared" si="10"/>
        <v>11.271734735139503</v>
      </c>
      <c r="AD8" s="30">
        <f t="shared" si="11"/>
        <v>2.416093813182369</v>
      </c>
      <c r="AE8" s="30">
        <f t="shared" si="12"/>
        <v>2.5374039627982197</v>
      </c>
      <c r="AF8" s="30">
        <f t="shared" si="13"/>
        <v>0.20218358269308528</v>
      </c>
      <c r="AG8" s="30">
        <f t="shared" si="14"/>
        <v>1.3950667205822882</v>
      </c>
      <c r="AH8" s="30">
        <f t="shared" si="15"/>
        <v>4.2256368782854814</v>
      </c>
      <c r="AI8" s="30">
        <f t="shared" si="16"/>
        <v>0.1112009704811969</v>
      </c>
      <c r="AJ8" s="30">
        <f t="shared" si="17"/>
        <v>0</v>
      </c>
      <c r="AK8" s="30">
        <f t="shared" si="18"/>
        <v>0</v>
      </c>
      <c r="AL8" s="30">
        <f t="shared" si="19"/>
        <v>100</v>
      </c>
    </row>
    <row r="9" spans="1:38">
      <c r="A9" s="26" t="s">
        <v>96</v>
      </c>
      <c r="B9" s="27">
        <v>59.81</v>
      </c>
      <c r="C9" s="27"/>
      <c r="D9" s="27">
        <v>7.68</v>
      </c>
      <c r="E9" s="27">
        <v>5.41</v>
      </c>
      <c r="F9" s="27">
        <v>1.73</v>
      </c>
      <c r="G9" s="27">
        <v>10.050000000000001</v>
      </c>
      <c r="H9" s="27">
        <v>6.04</v>
      </c>
      <c r="I9" s="27">
        <v>2.1800000000000002</v>
      </c>
      <c r="J9" s="27">
        <v>0.35</v>
      </c>
      <c r="K9" s="27">
        <v>0.97</v>
      </c>
      <c r="L9" s="27">
        <v>4.5</v>
      </c>
      <c r="M9" s="27">
        <v>0.12</v>
      </c>
      <c r="N9" s="27"/>
      <c r="O9" s="27"/>
      <c r="P9" s="31" t="s">
        <v>18</v>
      </c>
      <c r="Q9" s="23" t="str">
        <f t="shared" si="0"/>
        <v>不同部位</v>
      </c>
      <c r="R9" s="23" t="str">
        <f>VLOOKUP(P9,表单1_清洗!$A$2:$E$59,3,FALSE)</f>
        <v>高钾</v>
      </c>
      <c r="S9" s="23" t="str">
        <f>VLOOKUP(P9,表单1_清洗!$A$2:$E$59,5,FALSE)</f>
        <v>无风化</v>
      </c>
      <c r="T9" s="23" t="str">
        <f t="shared" si="1"/>
        <v>无风化</v>
      </c>
      <c r="U9" s="29">
        <f t="shared" si="2"/>
        <v>98.840000000000018</v>
      </c>
      <c r="V9" s="23" t="str">
        <f t="shared" si="3"/>
        <v>有效</v>
      </c>
      <c r="W9" s="23">
        <f t="shared" si="4"/>
        <v>3</v>
      </c>
      <c r="X9" s="30">
        <f t="shared" si="5"/>
        <v>60.51193848644273</v>
      </c>
      <c r="Y9" s="30">
        <f t="shared" si="6"/>
        <v>0</v>
      </c>
      <c r="Z9" s="30">
        <f t="shared" si="7"/>
        <v>7.7701335491703745</v>
      </c>
      <c r="AA9" s="30">
        <f t="shared" si="8"/>
        <v>5.4734925131525687</v>
      </c>
      <c r="AB9" s="30">
        <f t="shared" si="9"/>
        <v>1.7503035208417641</v>
      </c>
      <c r="AC9" s="30">
        <f t="shared" si="10"/>
        <v>10.16794819910967</v>
      </c>
      <c r="AD9" s="30">
        <f t="shared" si="11"/>
        <v>6.1108862808579509</v>
      </c>
      <c r="AE9" s="30">
        <f t="shared" si="12"/>
        <v>2.2055847834884661</v>
      </c>
      <c r="AF9" s="30">
        <f t="shared" si="13"/>
        <v>0.35410764872521239</v>
      </c>
      <c r="AG9" s="30">
        <f t="shared" si="14"/>
        <v>0.98138405503844572</v>
      </c>
      <c r="AH9" s="30">
        <f t="shared" si="15"/>
        <v>4.5528126264670163</v>
      </c>
      <c r="AI9" s="30">
        <f t="shared" si="16"/>
        <v>0.1214083367057871</v>
      </c>
      <c r="AJ9" s="30">
        <f t="shared" si="17"/>
        <v>0</v>
      </c>
      <c r="AK9" s="30">
        <f t="shared" si="18"/>
        <v>0</v>
      </c>
      <c r="AL9" s="30">
        <f t="shared" si="19"/>
        <v>100</v>
      </c>
    </row>
    <row r="10" spans="1:38">
      <c r="A10" s="26" t="s">
        <v>19</v>
      </c>
      <c r="B10" s="27">
        <v>92.63</v>
      </c>
      <c r="C10" s="27"/>
      <c r="D10" s="27"/>
      <c r="E10" s="27">
        <v>1.07</v>
      </c>
      <c r="F10" s="27"/>
      <c r="G10" s="27">
        <v>1.98</v>
      </c>
      <c r="H10" s="27">
        <v>0.17</v>
      </c>
      <c r="I10" s="27">
        <v>3.24</v>
      </c>
      <c r="J10" s="27"/>
      <c r="K10" s="27"/>
      <c r="L10" s="27">
        <v>0.61</v>
      </c>
      <c r="M10" s="27"/>
      <c r="N10" s="27"/>
      <c r="O10" s="27"/>
      <c r="P10" s="31" t="s">
        <v>19</v>
      </c>
      <c r="Q10" s="23" t="str">
        <f t="shared" si="0"/>
        <v>普通采样点</v>
      </c>
      <c r="R10" s="23" t="str">
        <f>VLOOKUP(P10,表单1_清洗!$A$2:$E$59,3,FALSE)</f>
        <v>高钾</v>
      </c>
      <c r="S10" s="23" t="str">
        <f>VLOOKUP(P10,表单1_清洗!$A$2:$E$59,5,FALSE)</f>
        <v>风化</v>
      </c>
      <c r="T10" s="23" t="str">
        <f t="shared" si="1"/>
        <v>风化</v>
      </c>
      <c r="U10" s="29">
        <f t="shared" si="2"/>
        <v>99.699999999999989</v>
      </c>
      <c r="V10" s="23" t="str">
        <f t="shared" si="3"/>
        <v>有效</v>
      </c>
      <c r="W10" s="23">
        <f t="shared" si="4"/>
        <v>8</v>
      </c>
      <c r="X10" s="30">
        <f t="shared" si="5"/>
        <v>92.908726178535616</v>
      </c>
      <c r="Y10" s="30">
        <f t="shared" si="6"/>
        <v>0</v>
      </c>
      <c r="Z10" s="30">
        <f t="shared" si="7"/>
        <v>0</v>
      </c>
      <c r="AA10" s="30">
        <f t="shared" si="8"/>
        <v>1.0732196589769309</v>
      </c>
      <c r="AB10" s="30">
        <f t="shared" si="9"/>
        <v>0</v>
      </c>
      <c r="AC10" s="30">
        <f t="shared" si="10"/>
        <v>1.9859578736208627</v>
      </c>
      <c r="AD10" s="30">
        <f t="shared" si="11"/>
        <v>0.17051153460381147</v>
      </c>
      <c r="AE10" s="30">
        <f t="shared" si="12"/>
        <v>3.2497492477432304</v>
      </c>
      <c r="AF10" s="30">
        <f t="shared" si="13"/>
        <v>0</v>
      </c>
      <c r="AG10" s="30">
        <f t="shared" si="14"/>
        <v>0</v>
      </c>
      <c r="AH10" s="30">
        <f t="shared" si="15"/>
        <v>0.61183550651955876</v>
      </c>
      <c r="AI10" s="30">
        <f t="shared" si="16"/>
        <v>0</v>
      </c>
      <c r="AJ10" s="30">
        <f t="shared" si="17"/>
        <v>0</v>
      </c>
      <c r="AK10" s="30">
        <f t="shared" si="18"/>
        <v>0</v>
      </c>
      <c r="AL10" s="30">
        <f t="shared" si="19"/>
        <v>100</v>
      </c>
    </row>
    <row r="11" spans="1:38">
      <c r="A11" s="26" t="s">
        <v>21</v>
      </c>
      <c r="B11" s="27">
        <v>20.14</v>
      </c>
      <c r="C11" s="27"/>
      <c r="D11" s="27"/>
      <c r="E11" s="27">
        <v>1.48</v>
      </c>
      <c r="F11" s="27"/>
      <c r="G11" s="27">
        <v>1.34</v>
      </c>
      <c r="H11" s="27"/>
      <c r="I11" s="27">
        <v>10.41</v>
      </c>
      <c r="J11" s="27">
        <v>28.68</v>
      </c>
      <c r="K11" s="27">
        <v>31.23</v>
      </c>
      <c r="L11" s="27">
        <v>3.59</v>
      </c>
      <c r="M11" s="27">
        <v>0.37</v>
      </c>
      <c r="N11" s="27"/>
      <c r="O11" s="27">
        <v>2.58</v>
      </c>
      <c r="P11" s="31" t="s">
        <v>21</v>
      </c>
      <c r="Q11" s="23" t="str">
        <f t="shared" si="0"/>
        <v>普通采样点</v>
      </c>
      <c r="R11" s="23" t="str">
        <f>VLOOKUP(P11,表单1_清洗!$A$2:$E$59,3,FALSE)</f>
        <v>铅钡</v>
      </c>
      <c r="S11" s="23" t="str">
        <f>VLOOKUP(P11,表单1_清洗!$A$2:$E$59,5,FALSE)</f>
        <v>风化</v>
      </c>
      <c r="T11" s="23" t="str">
        <f t="shared" si="1"/>
        <v>风化</v>
      </c>
      <c r="U11" s="29">
        <f t="shared" si="2"/>
        <v>99.820000000000007</v>
      </c>
      <c r="V11" s="23" t="str">
        <f t="shared" si="3"/>
        <v>有效</v>
      </c>
      <c r="W11" s="23">
        <f t="shared" si="4"/>
        <v>5</v>
      </c>
      <c r="X11" s="30">
        <f t="shared" si="5"/>
        <v>20.176317371268283</v>
      </c>
      <c r="Y11" s="30">
        <f t="shared" si="6"/>
        <v>0</v>
      </c>
      <c r="Z11" s="30">
        <f t="shared" si="7"/>
        <v>0</v>
      </c>
      <c r="AA11" s="30">
        <f t="shared" si="8"/>
        <v>1.4826688038469242</v>
      </c>
      <c r="AB11" s="30">
        <f t="shared" si="9"/>
        <v>0</v>
      </c>
      <c r="AC11" s="30">
        <f t="shared" si="10"/>
        <v>1.342416349428972</v>
      </c>
      <c r="AD11" s="30">
        <f t="shared" si="11"/>
        <v>0</v>
      </c>
      <c r="AE11" s="30">
        <f t="shared" si="12"/>
        <v>10.428771789220596</v>
      </c>
      <c r="AF11" s="30">
        <f t="shared" si="13"/>
        <v>28.731717090763372</v>
      </c>
      <c r="AG11" s="30">
        <f t="shared" si="14"/>
        <v>31.286315367661789</v>
      </c>
      <c r="AH11" s="30">
        <f t="shared" si="15"/>
        <v>3.5964736525746339</v>
      </c>
      <c r="AI11" s="30">
        <f t="shared" si="16"/>
        <v>0.37066720096173106</v>
      </c>
      <c r="AJ11" s="30">
        <f t="shared" si="17"/>
        <v>0</v>
      </c>
      <c r="AK11" s="30">
        <f t="shared" si="18"/>
        <v>2.5846523742736922</v>
      </c>
      <c r="AL11" s="30">
        <f t="shared" si="19"/>
        <v>99.999999999999986</v>
      </c>
    </row>
    <row r="12" spans="1:38">
      <c r="A12" s="26" t="s">
        <v>97</v>
      </c>
      <c r="B12" s="27">
        <v>4.6100000000000003</v>
      </c>
      <c r="C12" s="27"/>
      <c r="D12" s="27"/>
      <c r="E12" s="27">
        <v>3.19</v>
      </c>
      <c r="F12" s="27"/>
      <c r="G12" s="27">
        <v>1.1100000000000001</v>
      </c>
      <c r="H12" s="27"/>
      <c r="I12" s="27">
        <v>3.14</v>
      </c>
      <c r="J12" s="27">
        <v>32.450000000000003</v>
      </c>
      <c r="K12" s="27">
        <v>30.62</v>
      </c>
      <c r="L12" s="27">
        <v>7.56</v>
      </c>
      <c r="M12" s="27">
        <v>0.53</v>
      </c>
      <c r="N12" s="27"/>
      <c r="O12" s="27">
        <v>15.03</v>
      </c>
      <c r="P12" s="31" t="s">
        <v>21</v>
      </c>
      <c r="Q12" s="23" t="str">
        <f t="shared" si="0"/>
        <v>严重风化点</v>
      </c>
      <c r="R12" s="23" t="str">
        <f>VLOOKUP(P12,表单1_清洗!$A$2:$E$59,3,FALSE)</f>
        <v>铅钡</v>
      </c>
      <c r="S12" s="23" t="str">
        <f>VLOOKUP(P12,表单1_清洗!$A$2:$E$59,5,FALSE)</f>
        <v>风化</v>
      </c>
      <c r="T12" s="23" t="str">
        <f t="shared" si="1"/>
        <v>风化</v>
      </c>
      <c r="U12" s="29">
        <f t="shared" si="2"/>
        <v>98.240000000000009</v>
      </c>
      <c r="V12" s="23" t="str">
        <f t="shared" si="3"/>
        <v>有效</v>
      </c>
      <c r="W12" s="23">
        <f t="shared" si="4"/>
        <v>5</v>
      </c>
      <c r="X12" s="30">
        <f t="shared" si="5"/>
        <v>4.6925895765472312</v>
      </c>
      <c r="Y12" s="30">
        <f t="shared" si="6"/>
        <v>0</v>
      </c>
      <c r="Z12" s="30">
        <f t="shared" si="7"/>
        <v>0</v>
      </c>
      <c r="AA12" s="30">
        <f t="shared" si="8"/>
        <v>3.2471498371335499</v>
      </c>
      <c r="AB12" s="30">
        <f t="shared" si="9"/>
        <v>0</v>
      </c>
      <c r="AC12" s="30">
        <f t="shared" si="10"/>
        <v>1.129885993485342</v>
      </c>
      <c r="AD12" s="30">
        <f t="shared" si="11"/>
        <v>0</v>
      </c>
      <c r="AE12" s="30">
        <f t="shared" si="12"/>
        <v>3.196254071661238</v>
      </c>
      <c r="AF12" s="30">
        <f t="shared" si="13"/>
        <v>33.031351791530945</v>
      </c>
      <c r="AG12" s="30">
        <f t="shared" si="14"/>
        <v>31.168566775244301</v>
      </c>
      <c r="AH12" s="30">
        <f t="shared" si="15"/>
        <v>7.69543973941368</v>
      </c>
      <c r="AI12" s="30">
        <f t="shared" si="16"/>
        <v>0.53949511400651462</v>
      </c>
      <c r="AJ12" s="30">
        <f t="shared" si="17"/>
        <v>0</v>
      </c>
      <c r="AK12" s="30">
        <f t="shared" si="18"/>
        <v>15.299267100977195</v>
      </c>
      <c r="AL12" s="30">
        <f t="shared" si="19"/>
        <v>100</v>
      </c>
    </row>
    <row r="13" spans="1:38">
      <c r="A13" s="26" t="s">
        <v>23</v>
      </c>
      <c r="B13" s="27">
        <v>95.02</v>
      </c>
      <c r="C13" s="27"/>
      <c r="D13" s="27">
        <v>0.59</v>
      </c>
      <c r="E13" s="27">
        <v>0.62</v>
      </c>
      <c r="F13" s="27"/>
      <c r="G13" s="27">
        <v>1.32</v>
      </c>
      <c r="H13" s="27">
        <v>0.32</v>
      </c>
      <c r="I13" s="27">
        <v>1.55</v>
      </c>
      <c r="J13" s="27"/>
      <c r="K13" s="27"/>
      <c r="L13" s="27">
        <v>0.35</v>
      </c>
      <c r="M13" s="27"/>
      <c r="N13" s="27"/>
      <c r="O13" s="27"/>
      <c r="P13" s="31" t="s">
        <v>23</v>
      </c>
      <c r="Q13" s="23" t="str">
        <f t="shared" si="0"/>
        <v>普通采样点</v>
      </c>
      <c r="R13" s="23" t="str">
        <f>VLOOKUP(P13,表单1_清洗!$A$2:$E$59,3,FALSE)</f>
        <v>高钾</v>
      </c>
      <c r="S13" s="23" t="str">
        <f>VLOOKUP(P13,表单1_清洗!$A$2:$E$59,5,FALSE)</f>
        <v>风化</v>
      </c>
      <c r="T13" s="23" t="str">
        <f t="shared" si="1"/>
        <v>风化</v>
      </c>
      <c r="U13" s="29">
        <f t="shared" si="2"/>
        <v>99.769999999999982</v>
      </c>
      <c r="V13" s="23" t="str">
        <f t="shared" si="3"/>
        <v>有效</v>
      </c>
      <c r="W13" s="23">
        <f t="shared" si="4"/>
        <v>7</v>
      </c>
      <c r="X13" s="30">
        <f t="shared" si="5"/>
        <v>95.239049814573534</v>
      </c>
      <c r="Y13" s="30">
        <f t="shared" si="6"/>
        <v>0</v>
      </c>
      <c r="Z13" s="30">
        <f t="shared" si="7"/>
        <v>0.59136012829507878</v>
      </c>
      <c r="AA13" s="30">
        <f t="shared" si="8"/>
        <v>0.62142928736093028</v>
      </c>
      <c r="AB13" s="30">
        <f t="shared" si="9"/>
        <v>0</v>
      </c>
      <c r="AC13" s="30">
        <f t="shared" si="10"/>
        <v>1.3230429988974646</v>
      </c>
      <c r="AD13" s="30">
        <f t="shared" si="11"/>
        <v>0.32073769670241559</v>
      </c>
      <c r="AE13" s="30">
        <f t="shared" si="12"/>
        <v>1.5535732184023257</v>
      </c>
      <c r="AF13" s="30">
        <f t="shared" si="13"/>
        <v>0</v>
      </c>
      <c r="AG13" s="30">
        <f t="shared" si="14"/>
        <v>0</v>
      </c>
      <c r="AH13" s="30">
        <f t="shared" si="15"/>
        <v>0.35080685576826703</v>
      </c>
      <c r="AI13" s="30">
        <f t="shared" si="16"/>
        <v>0</v>
      </c>
      <c r="AJ13" s="30">
        <f t="shared" si="17"/>
        <v>0</v>
      </c>
      <c r="AK13" s="30">
        <f t="shared" si="18"/>
        <v>0</v>
      </c>
      <c r="AL13" s="30">
        <f t="shared" si="19"/>
        <v>100</v>
      </c>
    </row>
    <row r="14" spans="1:38">
      <c r="A14" s="26" t="s">
        <v>24</v>
      </c>
      <c r="B14" s="27">
        <v>96.77</v>
      </c>
      <c r="C14" s="27"/>
      <c r="D14" s="27">
        <v>0.92</v>
      </c>
      <c r="E14" s="27">
        <v>0.21</v>
      </c>
      <c r="F14" s="27"/>
      <c r="G14" s="27">
        <v>0.81</v>
      </c>
      <c r="H14" s="27">
        <v>0.26</v>
      </c>
      <c r="I14" s="27">
        <v>0.84</v>
      </c>
      <c r="J14" s="27"/>
      <c r="K14" s="27"/>
      <c r="L14" s="27"/>
      <c r="M14" s="27"/>
      <c r="N14" s="27"/>
      <c r="O14" s="27"/>
      <c r="P14" s="31" t="s">
        <v>24</v>
      </c>
      <c r="Q14" s="23" t="str">
        <f t="shared" si="0"/>
        <v>普通采样点</v>
      </c>
      <c r="R14" s="23" t="str">
        <f>VLOOKUP(P14,表单1_清洗!$A$2:$E$59,3,FALSE)</f>
        <v>高钾</v>
      </c>
      <c r="S14" s="23" t="str">
        <f>VLOOKUP(P14,表单1_清洗!$A$2:$E$59,5,FALSE)</f>
        <v>风化</v>
      </c>
      <c r="T14" s="23" t="str">
        <f t="shared" si="1"/>
        <v>风化</v>
      </c>
      <c r="U14" s="29">
        <f t="shared" si="2"/>
        <v>99.81</v>
      </c>
      <c r="V14" s="23" t="str">
        <f t="shared" si="3"/>
        <v>有效</v>
      </c>
      <c r="W14" s="23">
        <f t="shared" si="4"/>
        <v>8</v>
      </c>
      <c r="X14" s="30">
        <f t="shared" si="5"/>
        <v>96.954213004708947</v>
      </c>
      <c r="Y14" s="30">
        <f t="shared" si="6"/>
        <v>0</v>
      </c>
      <c r="Z14" s="30">
        <f t="shared" si="7"/>
        <v>0.92175132752229239</v>
      </c>
      <c r="AA14" s="30">
        <f t="shared" si="8"/>
        <v>0.21039975954313195</v>
      </c>
      <c r="AB14" s="30">
        <f t="shared" si="9"/>
        <v>0</v>
      </c>
      <c r="AC14" s="30">
        <f t="shared" si="10"/>
        <v>0.81154192966636607</v>
      </c>
      <c r="AD14" s="30">
        <f t="shared" si="11"/>
        <v>0.26049494038673482</v>
      </c>
      <c r="AE14" s="30">
        <f t="shared" si="12"/>
        <v>0.84159903817252779</v>
      </c>
      <c r="AF14" s="30">
        <f t="shared" si="13"/>
        <v>0</v>
      </c>
      <c r="AG14" s="30">
        <f t="shared" si="14"/>
        <v>0</v>
      </c>
      <c r="AH14" s="30">
        <f t="shared" si="15"/>
        <v>0</v>
      </c>
      <c r="AI14" s="30">
        <f t="shared" si="16"/>
        <v>0</v>
      </c>
      <c r="AJ14" s="30">
        <f t="shared" si="17"/>
        <v>0</v>
      </c>
      <c r="AK14" s="30">
        <f t="shared" si="18"/>
        <v>0</v>
      </c>
      <c r="AL14" s="30">
        <f t="shared" si="19"/>
        <v>100</v>
      </c>
    </row>
    <row r="15" spans="1:38">
      <c r="A15" s="26" t="s">
        <v>25</v>
      </c>
      <c r="B15" s="27">
        <v>33.590000000000003</v>
      </c>
      <c r="C15" s="27"/>
      <c r="D15" s="27">
        <v>0.21</v>
      </c>
      <c r="E15" s="27">
        <v>3.51</v>
      </c>
      <c r="F15" s="27">
        <v>0.71</v>
      </c>
      <c r="G15" s="27">
        <v>2.69</v>
      </c>
      <c r="H15" s="27"/>
      <c r="I15" s="27">
        <v>4.93</v>
      </c>
      <c r="J15" s="27">
        <v>25.39</v>
      </c>
      <c r="K15" s="27">
        <v>14.61</v>
      </c>
      <c r="L15" s="27">
        <v>9.3800000000000008</v>
      </c>
      <c r="M15" s="27">
        <v>0.37</v>
      </c>
      <c r="N15" s="27"/>
      <c r="O15" s="27"/>
      <c r="P15" s="31" t="s">
        <v>25</v>
      </c>
      <c r="Q15" s="23" t="str">
        <f t="shared" si="0"/>
        <v>普通采样点</v>
      </c>
      <c r="R15" s="23" t="str">
        <f>VLOOKUP(P15,表单1_清洗!$A$2:$E$59,3,FALSE)</f>
        <v>铅钡</v>
      </c>
      <c r="S15" s="23" t="str">
        <f>VLOOKUP(P15,表单1_清洗!$A$2:$E$59,5,FALSE)</f>
        <v>风化</v>
      </c>
      <c r="T15" s="23" t="str">
        <f t="shared" si="1"/>
        <v>风化</v>
      </c>
      <c r="U15" s="29">
        <f t="shared" si="2"/>
        <v>95.39</v>
      </c>
      <c r="V15" s="23" t="str">
        <f t="shared" si="3"/>
        <v>有效</v>
      </c>
      <c r="W15" s="23">
        <f t="shared" si="4"/>
        <v>4</v>
      </c>
      <c r="X15" s="30">
        <f t="shared" si="5"/>
        <v>35.213334731103892</v>
      </c>
      <c r="Y15" s="30">
        <f t="shared" si="6"/>
        <v>0</v>
      </c>
      <c r="Z15" s="30">
        <f t="shared" si="7"/>
        <v>0.22014886256421007</v>
      </c>
      <c r="AA15" s="30">
        <f t="shared" si="8"/>
        <v>3.6796309885732259</v>
      </c>
      <c r="AB15" s="30">
        <f t="shared" si="9"/>
        <v>0.74431282105042451</v>
      </c>
      <c r="AC15" s="30">
        <f t="shared" si="10"/>
        <v>2.8200020966558341</v>
      </c>
      <c r="AD15" s="30">
        <f t="shared" si="11"/>
        <v>0</v>
      </c>
      <c r="AE15" s="30">
        <f t="shared" si="12"/>
        <v>5.1682566306740743</v>
      </c>
      <c r="AF15" s="30">
        <f t="shared" si="13"/>
        <v>26.617045811929973</v>
      </c>
      <c r="AG15" s="30">
        <f t="shared" si="14"/>
        <v>15.316070866967188</v>
      </c>
      <c r="AH15" s="30">
        <f t="shared" si="15"/>
        <v>9.8333158612013847</v>
      </c>
      <c r="AI15" s="30">
        <f t="shared" si="16"/>
        <v>0.38788132927979874</v>
      </c>
      <c r="AJ15" s="30">
        <f t="shared" si="17"/>
        <v>0</v>
      </c>
      <c r="AK15" s="30">
        <f t="shared" si="18"/>
        <v>0</v>
      </c>
      <c r="AL15" s="30">
        <f t="shared" si="19"/>
        <v>100</v>
      </c>
    </row>
    <row r="16" spans="1:38">
      <c r="A16" s="26" t="s">
        <v>26</v>
      </c>
      <c r="B16" s="27">
        <v>94.29</v>
      </c>
      <c r="C16" s="27"/>
      <c r="D16" s="27">
        <v>1.01</v>
      </c>
      <c r="E16" s="27">
        <v>0.72</v>
      </c>
      <c r="F16" s="27"/>
      <c r="G16" s="27">
        <v>1.46</v>
      </c>
      <c r="H16" s="27">
        <v>0.28999999999999998</v>
      </c>
      <c r="I16" s="27">
        <v>1.65</v>
      </c>
      <c r="J16" s="27"/>
      <c r="K16" s="27"/>
      <c r="L16" s="27">
        <v>0.15</v>
      </c>
      <c r="M16" s="27"/>
      <c r="N16" s="27"/>
      <c r="O16" s="27"/>
      <c r="P16" s="31" t="s">
        <v>26</v>
      </c>
      <c r="Q16" s="23" t="str">
        <f t="shared" si="0"/>
        <v>普通采样点</v>
      </c>
      <c r="R16" s="23" t="str">
        <f>VLOOKUP(P16,表单1_清洗!$A$2:$E$59,3,FALSE)</f>
        <v>高钾</v>
      </c>
      <c r="S16" s="23" t="str">
        <f>VLOOKUP(P16,表单1_清洗!$A$2:$E$59,5,FALSE)</f>
        <v>风化</v>
      </c>
      <c r="T16" s="23" t="str">
        <f t="shared" si="1"/>
        <v>风化</v>
      </c>
      <c r="U16" s="29">
        <f t="shared" si="2"/>
        <v>99.570000000000022</v>
      </c>
      <c r="V16" s="23" t="str">
        <f t="shared" si="3"/>
        <v>有效</v>
      </c>
      <c r="W16" s="23">
        <f t="shared" si="4"/>
        <v>7</v>
      </c>
      <c r="X16" s="30">
        <f t="shared" si="5"/>
        <v>94.697197951190105</v>
      </c>
      <c r="Y16" s="30">
        <f t="shared" si="6"/>
        <v>0</v>
      </c>
      <c r="Z16" s="30">
        <f t="shared" si="7"/>
        <v>1.0143617555488598</v>
      </c>
      <c r="AA16" s="30">
        <f t="shared" si="8"/>
        <v>0.72310937029225653</v>
      </c>
      <c r="AB16" s="30">
        <f t="shared" si="9"/>
        <v>0</v>
      </c>
      <c r="AC16" s="30">
        <f t="shared" si="10"/>
        <v>1.46630511198152</v>
      </c>
      <c r="AD16" s="30">
        <f t="shared" si="11"/>
        <v>0.2912523852566033</v>
      </c>
      <c r="AE16" s="30">
        <f t="shared" si="12"/>
        <v>1.6571256402530881</v>
      </c>
      <c r="AF16" s="30">
        <f t="shared" si="13"/>
        <v>0</v>
      </c>
      <c r="AG16" s="30">
        <f t="shared" si="14"/>
        <v>0</v>
      </c>
      <c r="AH16" s="30">
        <f t="shared" si="15"/>
        <v>0.15064778547755345</v>
      </c>
      <c r="AI16" s="30">
        <f t="shared" si="16"/>
        <v>0</v>
      </c>
      <c r="AJ16" s="30">
        <f t="shared" si="17"/>
        <v>0</v>
      </c>
      <c r="AK16" s="30">
        <f t="shared" si="18"/>
        <v>0</v>
      </c>
      <c r="AL16" s="30">
        <f t="shared" si="19"/>
        <v>100</v>
      </c>
    </row>
    <row r="17" spans="1:38">
      <c r="A17" s="26" t="s">
        <v>27</v>
      </c>
      <c r="B17" s="27">
        <v>59.01</v>
      </c>
      <c r="C17" s="27">
        <v>2.86</v>
      </c>
      <c r="D17" s="27">
        <v>12.53</v>
      </c>
      <c r="E17" s="27">
        <v>8.6999999999999993</v>
      </c>
      <c r="F17" s="27"/>
      <c r="G17" s="27">
        <v>6.16</v>
      </c>
      <c r="H17" s="27">
        <v>2.88</v>
      </c>
      <c r="I17" s="27">
        <v>4.7300000000000004</v>
      </c>
      <c r="J17" s="27"/>
      <c r="K17" s="27"/>
      <c r="L17" s="27">
        <v>1.27</v>
      </c>
      <c r="M17" s="27"/>
      <c r="N17" s="27"/>
      <c r="O17" s="27"/>
      <c r="P17" s="31" t="s">
        <v>27</v>
      </c>
      <c r="Q17" s="23" t="str">
        <f t="shared" si="0"/>
        <v>普通采样点</v>
      </c>
      <c r="R17" s="23" t="str">
        <f>VLOOKUP(P17,表单1_清洗!$A$2:$E$59,3,FALSE)</f>
        <v>高钾</v>
      </c>
      <c r="S17" s="23" t="str">
        <f>VLOOKUP(P17,表单1_清洗!$A$2:$E$59,5,FALSE)</f>
        <v>无风化</v>
      </c>
      <c r="T17" s="23" t="str">
        <f t="shared" si="1"/>
        <v>无风化</v>
      </c>
      <c r="U17" s="29">
        <f t="shared" si="2"/>
        <v>98.139999999999986</v>
      </c>
      <c r="V17" s="23" t="str">
        <f t="shared" si="3"/>
        <v>有效</v>
      </c>
      <c r="W17" s="23">
        <f t="shared" si="4"/>
        <v>6</v>
      </c>
      <c r="X17" s="30">
        <f t="shared" si="5"/>
        <v>60.128388017118404</v>
      </c>
      <c r="Y17" s="30">
        <f t="shared" si="6"/>
        <v>2.9142041980843696</v>
      </c>
      <c r="Z17" s="30">
        <f t="shared" si="7"/>
        <v>12.76747503566334</v>
      </c>
      <c r="AA17" s="30">
        <f t="shared" si="8"/>
        <v>8.8648868962706331</v>
      </c>
      <c r="AB17" s="30">
        <f t="shared" si="9"/>
        <v>0</v>
      </c>
      <c r="AC17" s="30">
        <f t="shared" si="10"/>
        <v>6.2767475035663347</v>
      </c>
      <c r="AD17" s="30">
        <f t="shared" si="11"/>
        <v>2.934583248420624</v>
      </c>
      <c r="AE17" s="30">
        <f t="shared" si="12"/>
        <v>4.8196454045241506</v>
      </c>
      <c r="AF17" s="30">
        <f t="shared" si="13"/>
        <v>0</v>
      </c>
      <c r="AG17" s="30">
        <f t="shared" si="14"/>
        <v>0</v>
      </c>
      <c r="AH17" s="30">
        <f t="shared" si="15"/>
        <v>1.2940696963521503</v>
      </c>
      <c r="AI17" s="30">
        <f t="shared" si="16"/>
        <v>0</v>
      </c>
      <c r="AJ17" s="30">
        <f t="shared" si="17"/>
        <v>0</v>
      </c>
      <c r="AK17" s="30">
        <f t="shared" si="18"/>
        <v>0</v>
      </c>
      <c r="AL17" s="30">
        <f t="shared" si="19"/>
        <v>100.00000000000001</v>
      </c>
    </row>
    <row r="18" spans="1:38">
      <c r="A18" s="26" t="s">
        <v>28</v>
      </c>
      <c r="B18" s="27">
        <v>62.47</v>
      </c>
      <c r="C18" s="27">
        <v>3.38</v>
      </c>
      <c r="D18" s="27">
        <v>12.28</v>
      </c>
      <c r="E18" s="27">
        <v>8.23</v>
      </c>
      <c r="F18" s="27">
        <v>0.66</v>
      </c>
      <c r="G18" s="27">
        <v>9.23</v>
      </c>
      <c r="H18" s="27">
        <v>0.5</v>
      </c>
      <c r="I18" s="27">
        <v>0.47</v>
      </c>
      <c r="J18" s="27">
        <v>1.62</v>
      </c>
      <c r="K18" s="27"/>
      <c r="L18" s="27">
        <v>0.16</v>
      </c>
      <c r="M18" s="27"/>
      <c r="N18" s="27"/>
      <c r="O18" s="27"/>
      <c r="P18" s="31" t="s">
        <v>28</v>
      </c>
      <c r="Q18" s="23" t="str">
        <f t="shared" si="0"/>
        <v>普通采样点</v>
      </c>
      <c r="R18" s="23" t="str">
        <f>VLOOKUP(P18,表单1_清洗!$A$2:$E$59,3,FALSE)</f>
        <v>高钾</v>
      </c>
      <c r="S18" s="23" t="str">
        <f>VLOOKUP(P18,表单1_清洗!$A$2:$E$59,5,FALSE)</f>
        <v>无风化</v>
      </c>
      <c r="T18" s="23" t="str">
        <f t="shared" si="1"/>
        <v>无风化</v>
      </c>
      <c r="U18" s="29">
        <f t="shared" si="2"/>
        <v>99</v>
      </c>
      <c r="V18" s="23" t="str">
        <f t="shared" si="3"/>
        <v>有效</v>
      </c>
      <c r="W18" s="23">
        <f t="shared" si="4"/>
        <v>4</v>
      </c>
      <c r="X18" s="30">
        <f t="shared" si="5"/>
        <v>63.101010101010104</v>
      </c>
      <c r="Y18" s="30">
        <f t="shared" si="6"/>
        <v>3.4141414141414139</v>
      </c>
      <c r="Z18" s="30">
        <f t="shared" si="7"/>
        <v>12.404040404040403</v>
      </c>
      <c r="AA18" s="30">
        <f t="shared" si="8"/>
        <v>8.3131313131313131</v>
      </c>
      <c r="AB18" s="30">
        <f t="shared" si="9"/>
        <v>0.66666666666666674</v>
      </c>
      <c r="AC18" s="30">
        <f t="shared" si="10"/>
        <v>9.3232323232323235</v>
      </c>
      <c r="AD18" s="30">
        <f t="shared" si="11"/>
        <v>0.50505050505050508</v>
      </c>
      <c r="AE18" s="30">
        <f t="shared" si="12"/>
        <v>0.4747474747474747</v>
      </c>
      <c r="AF18" s="30">
        <f t="shared" si="13"/>
        <v>1.6363636363636365</v>
      </c>
      <c r="AG18" s="30">
        <f t="shared" si="14"/>
        <v>0</v>
      </c>
      <c r="AH18" s="30">
        <f t="shared" si="15"/>
        <v>0.1616161616161616</v>
      </c>
      <c r="AI18" s="30">
        <f t="shared" si="16"/>
        <v>0</v>
      </c>
      <c r="AJ18" s="30">
        <f t="shared" si="17"/>
        <v>0</v>
      </c>
      <c r="AK18" s="30">
        <f t="shared" si="18"/>
        <v>0</v>
      </c>
      <c r="AL18" s="30">
        <f t="shared" si="19"/>
        <v>100</v>
      </c>
    </row>
    <row r="19" spans="1:38">
      <c r="A19" s="26" t="s">
        <v>30</v>
      </c>
      <c r="B19" s="27">
        <v>61.87</v>
      </c>
      <c r="C19" s="27">
        <v>3.21</v>
      </c>
      <c r="D19" s="27">
        <v>7.44</v>
      </c>
      <c r="E19" s="27"/>
      <c r="F19" s="27">
        <v>1.02</v>
      </c>
      <c r="G19" s="27">
        <v>3.15</v>
      </c>
      <c r="H19" s="27">
        <v>1.04</v>
      </c>
      <c r="I19" s="27">
        <v>1.29</v>
      </c>
      <c r="J19" s="27">
        <v>0.19</v>
      </c>
      <c r="K19" s="27">
        <v>0</v>
      </c>
      <c r="L19" s="27">
        <v>0.26</v>
      </c>
      <c r="M19" s="27"/>
      <c r="N19" s="27"/>
      <c r="O19" s="27"/>
      <c r="P19" s="31" t="s">
        <v>30</v>
      </c>
      <c r="Q19" s="23" t="str">
        <f t="shared" si="0"/>
        <v>普通采样点</v>
      </c>
      <c r="R19" s="23" t="str">
        <f>VLOOKUP(P19,表单1_清洗!$A$2:$E$59,3,FALSE)</f>
        <v>高钾</v>
      </c>
      <c r="S19" s="23" t="str">
        <f>VLOOKUP(P19,表单1_清洗!$A$2:$E$59,5,FALSE)</f>
        <v>无风化</v>
      </c>
      <c r="T19" s="23" t="str">
        <f t="shared" si="1"/>
        <v>无风化</v>
      </c>
      <c r="U19" s="29">
        <f t="shared" si="2"/>
        <v>79.470000000000013</v>
      </c>
      <c r="V19" s="23" t="str">
        <f t="shared" si="3"/>
        <v>无效</v>
      </c>
      <c r="W19" s="23">
        <f t="shared" si="4"/>
        <v>5</v>
      </c>
      <c r="X19" s="30" t="str">
        <f t="shared" si="5"/>
        <v/>
      </c>
      <c r="Y19" s="30" t="str">
        <f t="shared" si="6"/>
        <v/>
      </c>
      <c r="Z19" s="30" t="str">
        <f t="shared" si="7"/>
        <v/>
      </c>
      <c r="AA19" s="30" t="str">
        <f t="shared" si="8"/>
        <v/>
      </c>
      <c r="AB19" s="30" t="str">
        <f t="shared" si="9"/>
        <v/>
      </c>
      <c r="AC19" s="30" t="str">
        <f t="shared" si="10"/>
        <v/>
      </c>
      <c r="AD19" s="30" t="str">
        <f t="shared" si="11"/>
        <v/>
      </c>
      <c r="AE19" s="30" t="str">
        <f t="shared" si="12"/>
        <v/>
      </c>
      <c r="AF19" s="30" t="str">
        <f t="shared" si="13"/>
        <v/>
      </c>
      <c r="AG19" s="30" t="str">
        <f t="shared" si="14"/>
        <v/>
      </c>
      <c r="AH19" s="30" t="str">
        <f t="shared" si="15"/>
        <v/>
      </c>
      <c r="AI19" s="30" t="str">
        <f t="shared" si="16"/>
        <v/>
      </c>
      <c r="AJ19" s="30" t="str">
        <f t="shared" si="17"/>
        <v/>
      </c>
      <c r="AK19" s="30" t="str">
        <f t="shared" si="18"/>
        <v/>
      </c>
      <c r="AL19" s="30" t="str">
        <f t="shared" si="19"/>
        <v/>
      </c>
    </row>
    <row r="20" spans="1:38">
      <c r="A20" s="26" t="s">
        <v>31</v>
      </c>
      <c r="B20" s="27">
        <v>65.180000000000007</v>
      </c>
      <c r="C20" s="27">
        <v>2.1</v>
      </c>
      <c r="D20" s="27">
        <v>14.52</v>
      </c>
      <c r="E20" s="27">
        <v>8.27</v>
      </c>
      <c r="F20" s="27">
        <v>0.52</v>
      </c>
      <c r="G20" s="27">
        <v>6.18</v>
      </c>
      <c r="H20" s="27">
        <v>0.42</v>
      </c>
      <c r="I20" s="27">
        <v>1.07</v>
      </c>
      <c r="J20" s="27">
        <v>0.11</v>
      </c>
      <c r="K20" s="27">
        <v>0</v>
      </c>
      <c r="L20" s="27"/>
      <c r="M20" s="27">
        <v>0.04</v>
      </c>
      <c r="N20" s="27"/>
      <c r="O20" s="27"/>
      <c r="P20" s="31" t="s">
        <v>31</v>
      </c>
      <c r="Q20" s="23" t="str">
        <f t="shared" si="0"/>
        <v>普通采样点</v>
      </c>
      <c r="R20" s="23" t="str">
        <f>VLOOKUP(P20,表单1_清洗!$A$2:$E$59,3,FALSE)</f>
        <v>高钾</v>
      </c>
      <c r="S20" s="23" t="str">
        <f>VLOOKUP(P20,表单1_清洗!$A$2:$E$59,5,FALSE)</f>
        <v>无风化</v>
      </c>
      <c r="T20" s="23" t="str">
        <f t="shared" si="1"/>
        <v>无风化</v>
      </c>
      <c r="U20" s="29">
        <f t="shared" si="2"/>
        <v>98.409999999999982</v>
      </c>
      <c r="V20" s="23" t="str">
        <f t="shared" si="3"/>
        <v>有效</v>
      </c>
      <c r="W20" s="23">
        <f t="shared" si="4"/>
        <v>4</v>
      </c>
      <c r="X20" s="30">
        <f t="shared" si="5"/>
        <v>66.23310639162689</v>
      </c>
      <c r="Y20" s="30">
        <f t="shared" si="6"/>
        <v>2.1339294787115137</v>
      </c>
      <c r="Z20" s="30">
        <f t="shared" si="7"/>
        <v>14.754598109948178</v>
      </c>
      <c r="AA20" s="30">
        <f t="shared" si="8"/>
        <v>8.4036175185448645</v>
      </c>
      <c r="AB20" s="30">
        <f t="shared" si="9"/>
        <v>0.52840158520475566</v>
      </c>
      <c r="AC20" s="30">
        <f t="shared" si="10"/>
        <v>6.2798496087795961</v>
      </c>
      <c r="AD20" s="30">
        <f t="shared" si="11"/>
        <v>0.42678589574230263</v>
      </c>
      <c r="AE20" s="30">
        <f t="shared" si="12"/>
        <v>1.0872878772482475</v>
      </c>
      <c r="AF20" s="30">
        <f t="shared" si="13"/>
        <v>0.11177725840869832</v>
      </c>
      <c r="AG20" s="30">
        <f t="shared" si="14"/>
        <v>0</v>
      </c>
      <c r="AH20" s="30">
        <f t="shared" si="15"/>
        <v>0</v>
      </c>
      <c r="AI20" s="30">
        <f t="shared" si="16"/>
        <v>4.0646275784981208E-2</v>
      </c>
      <c r="AJ20" s="30">
        <f t="shared" si="17"/>
        <v>0</v>
      </c>
      <c r="AK20" s="30">
        <f t="shared" si="18"/>
        <v>0</v>
      </c>
      <c r="AL20" s="30">
        <f t="shared" si="19"/>
        <v>100.00000000000001</v>
      </c>
    </row>
    <row r="21" spans="1:38">
      <c r="A21" s="26" t="s">
        <v>32</v>
      </c>
      <c r="B21" s="27">
        <v>60.71</v>
      </c>
      <c r="C21" s="27">
        <v>2.12</v>
      </c>
      <c r="D21" s="27">
        <v>5.71</v>
      </c>
      <c r="E21" s="27"/>
      <c r="F21" s="27">
        <v>0.85</v>
      </c>
      <c r="G21" s="27"/>
      <c r="H21" s="27">
        <v>1.04</v>
      </c>
      <c r="I21" s="27">
        <v>1.0900000000000001</v>
      </c>
      <c r="J21" s="27">
        <v>0.19</v>
      </c>
      <c r="K21" s="27">
        <v>0</v>
      </c>
      <c r="L21" s="27">
        <v>0.18</v>
      </c>
      <c r="M21" s="27"/>
      <c r="N21" s="27">
        <v>0</v>
      </c>
      <c r="O21" s="27"/>
      <c r="P21" s="31" t="s">
        <v>32</v>
      </c>
      <c r="Q21" s="23" t="str">
        <f t="shared" si="0"/>
        <v>普通采样点</v>
      </c>
      <c r="R21" s="23" t="str">
        <f>VLOOKUP(P21,表单1_清洗!$A$2:$E$59,3,FALSE)</f>
        <v>高钾</v>
      </c>
      <c r="S21" s="23" t="str">
        <f>VLOOKUP(P21,表单1_清洗!$A$2:$E$59,5,FALSE)</f>
        <v>无风化</v>
      </c>
      <c r="T21" s="23" t="str">
        <f t="shared" si="1"/>
        <v>无风化</v>
      </c>
      <c r="U21" s="29">
        <f t="shared" si="2"/>
        <v>71.89</v>
      </c>
      <c r="V21" s="23" t="str">
        <f t="shared" si="3"/>
        <v>无效</v>
      </c>
      <c r="W21" s="23">
        <f t="shared" si="4"/>
        <v>6</v>
      </c>
      <c r="X21" s="30" t="str">
        <f t="shared" si="5"/>
        <v/>
      </c>
      <c r="Y21" s="30" t="str">
        <f t="shared" si="6"/>
        <v/>
      </c>
      <c r="Z21" s="30" t="str">
        <f t="shared" si="7"/>
        <v/>
      </c>
      <c r="AA21" s="30" t="str">
        <f t="shared" si="8"/>
        <v/>
      </c>
      <c r="AB21" s="30" t="str">
        <f t="shared" si="9"/>
        <v/>
      </c>
      <c r="AC21" s="30" t="str">
        <f t="shared" si="10"/>
        <v/>
      </c>
      <c r="AD21" s="30" t="str">
        <f t="shared" si="11"/>
        <v/>
      </c>
      <c r="AE21" s="30" t="str">
        <f t="shared" si="12"/>
        <v/>
      </c>
      <c r="AF21" s="30" t="str">
        <f t="shared" si="13"/>
        <v/>
      </c>
      <c r="AG21" s="30" t="str">
        <f t="shared" si="14"/>
        <v/>
      </c>
      <c r="AH21" s="30" t="str">
        <f t="shared" si="15"/>
        <v/>
      </c>
      <c r="AI21" s="30" t="str">
        <f t="shared" si="16"/>
        <v/>
      </c>
      <c r="AJ21" s="30" t="str">
        <f t="shared" si="17"/>
        <v/>
      </c>
      <c r="AK21" s="30" t="str">
        <f t="shared" si="18"/>
        <v/>
      </c>
      <c r="AL21" s="30" t="str">
        <f t="shared" si="19"/>
        <v/>
      </c>
    </row>
    <row r="22" spans="1:38">
      <c r="A22" s="26" t="s">
        <v>33</v>
      </c>
      <c r="B22" s="27">
        <v>79.459999999999994</v>
      </c>
      <c r="C22" s="27"/>
      <c r="D22" s="27">
        <v>9.42</v>
      </c>
      <c r="E22" s="27"/>
      <c r="F22" s="27">
        <v>1.53</v>
      </c>
      <c r="G22" s="27">
        <v>3.05</v>
      </c>
      <c r="H22" s="27"/>
      <c r="I22" s="27"/>
      <c r="J22" s="27"/>
      <c r="K22" s="27"/>
      <c r="L22" s="27">
        <v>1.36</v>
      </c>
      <c r="M22" s="27">
        <v>7.0000000000000007E-2</v>
      </c>
      <c r="N22" s="27">
        <v>2.36</v>
      </c>
      <c r="O22" s="27"/>
      <c r="P22" s="31" t="s">
        <v>33</v>
      </c>
      <c r="Q22" s="23" t="str">
        <f t="shared" si="0"/>
        <v>普通采样点</v>
      </c>
      <c r="R22" s="23" t="str">
        <f>VLOOKUP(P22,表单1_清洗!$A$2:$E$59,3,FALSE)</f>
        <v>高钾</v>
      </c>
      <c r="S22" s="23" t="str">
        <f>VLOOKUP(P22,表单1_清洗!$A$2:$E$59,5,FALSE)</f>
        <v>无风化</v>
      </c>
      <c r="T22" s="23" t="str">
        <f t="shared" si="1"/>
        <v>无风化</v>
      </c>
      <c r="U22" s="29">
        <f t="shared" si="2"/>
        <v>97.249999999999986</v>
      </c>
      <c r="V22" s="23" t="str">
        <f t="shared" si="3"/>
        <v>有效</v>
      </c>
      <c r="W22" s="23">
        <f t="shared" si="4"/>
        <v>7</v>
      </c>
      <c r="X22" s="30">
        <f t="shared" si="5"/>
        <v>81.706940874035993</v>
      </c>
      <c r="Y22" s="30">
        <f t="shared" si="6"/>
        <v>0</v>
      </c>
      <c r="Z22" s="30">
        <f t="shared" si="7"/>
        <v>9.6863753213367634</v>
      </c>
      <c r="AA22" s="30">
        <f t="shared" si="8"/>
        <v>0</v>
      </c>
      <c r="AB22" s="30">
        <f t="shared" si="9"/>
        <v>1.5732647814910028</v>
      </c>
      <c r="AC22" s="30">
        <f t="shared" si="10"/>
        <v>3.1362467866323915</v>
      </c>
      <c r="AD22" s="30">
        <f t="shared" si="11"/>
        <v>0</v>
      </c>
      <c r="AE22" s="30">
        <f t="shared" si="12"/>
        <v>0</v>
      </c>
      <c r="AF22" s="30">
        <f t="shared" si="13"/>
        <v>0</v>
      </c>
      <c r="AG22" s="30">
        <f t="shared" si="14"/>
        <v>0</v>
      </c>
      <c r="AH22" s="30">
        <f t="shared" si="15"/>
        <v>1.3984575835475581</v>
      </c>
      <c r="AI22" s="30">
        <f t="shared" si="16"/>
        <v>7.1979434447300789E-2</v>
      </c>
      <c r="AJ22" s="30">
        <f t="shared" si="17"/>
        <v>2.4267352185089979</v>
      </c>
      <c r="AK22" s="30">
        <f t="shared" si="18"/>
        <v>0</v>
      </c>
      <c r="AL22" s="30">
        <f t="shared" si="19"/>
        <v>100.00000000000001</v>
      </c>
    </row>
    <row r="23" spans="1:38">
      <c r="A23" s="26" t="s">
        <v>35</v>
      </c>
      <c r="B23" s="27">
        <v>29.64</v>
      </c>
      <c r="C23" s="27"/>
      <c r="D23" s="27"/>
      <c r="E23" s="27">
        <v>2.93</v>
      </c>
      <c r="F23" s="27">
        <v>0.59</v>
      </c>
      <c r="G23" s="27">
        <v>3.57</v>
      </c>
      <c r="H23" s="27">
        <v>1.33</v>
      </c>
      <c r="I23" s="27">
        <v>3.51</v>
      </c>
      <c r="J23" s="27">
        <v>42.82</v>
      </c>
      <c r="K23" s="27">
        <v>5.35</v>
      </c>
      <c r="L23" s="27">
        <v>8.83</v>
      </c>
      <c r="M23" s="27">
        <v>0.19</v>
      </c>
      <c r="N23" s="27"/>
      <c r="O23" s="27"/>
      <c r="P23" s="31" t="s">
        <v>35</v>
      </c>
      <c r="Q23" s="23" t="str">
        <f t="shared" si="0"/>
        <v>普通采样点</v>
      </c>
      <c r="R23" s="23" t="str">
        <f>VLOOKUP(P23,表单1_清洗!$A$2:$E$59,3,FALSE)</f>
        <v>铅钡</v>
      </c>
      <c r="S23" s="23" t="str">
        <f>VLOOKUP(P23,表单1_清洗!$A$2:$E$59,5,FALSE)</f>
        <v>风化</v>
      </c>
      <c r="T23" s="23" t="str">
        <f t="shared" si="1"/>
        <v>风化</v>
      </c>
      <c r="U23" s="29">
        <f t="shared" si="2"/>
        <v>98.759999999999991</v>
      </c>
      <c r="V23" s="23" t="str">
        <f t="shared" si="3"/>
        <v>有效</v>
      </c>
      <c r="W23" s="23">
        <f t="shared" si="4"/>
        <v>4</v>
      </c>
      <c r="X23" s="30">
        <f t="shared" si="5"/>
        <v>30.012150668286758</v>
      </c>
      <c r="Y23" s="30">
        <f t="shared" si="6"/>
        <v>0</v>
      </c>
      <c r="Z23" s="30">
        <f t="shared" si="7"/>
        <v>0</v>
      </c>
      <c r="AA23" s="30">
        <f t="shared" si="8"/>
        <v>2.9667881733495349</v>
      </c>
      <c r="AB23" s="30">
        <f t="shared" si="9"/>
        <v>0.59740785743215874</v>
      </c>
      <c r="AC23" s="30">
        <f t="shared" si="10"/>
        <v>3.6148238153098422</v>
      </c>
      <c r="AD23" s="30">
        <f t="shared" si="11"/>
        <v>1.346699068448765</v>
      </c>
      <c r="AE23" s="30">
        <f t="shared" si="12"/>
        <v>3.5540704738760636</v>
      </c>
      <c r="AF23" s="30">
        <f t="shared" si="13"/>
        <v>43.357634669906844</v>
      </c>
      <c r="AG23" s="30">
        <f t="shared" si="14"/>
        <v>5.4171729445119485</v>
      </c>
      <c r="AH23" s="30">
        <f t="shared" si="15"/>
        <v>8.940866747671123</v>
      </c>
      <c r="AI23" s="30">
        <f t="shared" si="16"/>
        <v>0.19238558120696642</v>
      </c>
      <c r="AJ23" s="30">
        <f t="shared" si="17"/>
        <v>0</v>
      </c>
      <c r="AK23" s="30">
        <f t="shared" si="18"/>
        <v>0</v>
      </c>
      <c r="AL23" s="30">
        <f t="shared" si="19"/>
        <v>100</v>
      </c>
    </row>
    <row r="24" spans="1:38">
      <c r="A24" s="26" t="s">
        <v>36</v>
      </c>
      <c r="B24" s="27">
        <v>37.36</v>
      </c>
      <c r="C24" s="27"/>
      <c r="D24" s="27">
        <v>0.71</v>
      </c>
      <c r="E24" s="27"/>
      <c r="F24" s="27"/>
      <c r="G24" s="27">
        <v>5.45</v>
      </c>
      <c r="H24" s="27">
        <v>1.51</v>
      </c>
      <c r="I24" s="27">
        <v>4.78</v>
      </c>
      <c r="J24" s="27">
        <v>9.3000000000000007</v>
      </c>
      <c r="K24" s="27">
        <v>23.55</v>
      </c>
      <c r="L24" s="27">
        <v>5.75</v>
      </c>
      <c r="M24" s="27"/>
      <c r="N24" s="27"/>
      <c r="O24" s="27"/>
      <c r="P24" s="31" t="s">
        <v>36</v>
      </c>
      <c r="Q24" s="23" t="str">
        <f t="shared" si="0"/>
        <v>普通采样点</v>
      </c>
      <c r="R24" s="23" t="str">
        <f>VLOOKUP(P24,表单1_清洗!$A$2:$E$59,3,FALSE)</f>
        <v>铅钡</v>
      </c>
      <c r="S24" s="23" t="str">
        <f>VLOOKUP(P24,表单1_清洗!$A$2:$E$59,5,FALSE)</f>
        <v>无风化</v>
      </c>
      <c r="T24" s="23" t="str">
        <f t="shared" si="1"/>
        <v>无风化</v>
      </c>
      <c r="U24" s="29">
        <f t="shared" si="2"/>
        <v>88.41</v>
      </c>
      <c r="V24" s="23" t="str">
        <f t="shared" si="3"/>
        <v>有效</v>
      </c>
      <c r="W24" s="23">
        <f t="shared" si="4"/>
        <v>6</v>
      </c>
      <c r="X24" s="30">
        <f t="shared" si="5"/>
        <v>42.257663160275989</v>
      </c>
      <c r="Y24" s="30">
        <f t="shared" si="6"/>
        <v>0</v>
      </c>
      <c r="Z24" s="30">
        <f t="shared" si="7"/>
        <v>0.80307657504807151</v>
      </c>
      <c r="AA24" s="30">
        <f t="shared" si="8"/>
        <v>0</v>
      </c>
      <c r="AB24" s="30">
        <f t="shared" si="9"/>
        <v>0</v>
      </c>
      <c r="AC24" s="30">
        <f t="shared" si="10"/>
        <v>6.1644610338197046</v>
      </c>
      <c r="AD24" s="30">
        <f t="shared" si="11"/>
        <v>1.7079515891867438</v>
      </c>
      <c r="AE24" s="30">
        <f t="shared" si="12"/>
        <v>5.4066282094785665</v>
      </c>
      <c r="AF24" s="30">
        <f t="shared" si="13"/>
        <v>10.519172039362063</v>
      </c>
      <c r="AG24" s="30">
        <f t="shared" si="14"/>
        <v>26.637258228707161</v>
      </c>
      <c r="AH24" s="30">
        <f t="shared" si="15"/>
        <v>6.5037891641217067</v>
      </c>
      <c r="AI24" s="30">
        <f t="shared" si="16"/>
        <v>0</v>
      </c>
      <c r="AJ24" s="30">
        <f t="shared" si="17"/>
        <v>0</v>
      </c>
      <c r="AK24" s="30">
        <f t="shared" si="18"/>
        <v>0</v>
      </c>
      <c r="AL24" s="30">
        <f t="shared" si="19"/>
        <v>100.00000000000003</v>
      </c>
    </row>
    <row r="25" spans="1:38">
      <c r="A25" s="26" t="s">
        <v>37</v>
      </c>
      <c r="B25" s="27">
        <v>76.680000000000007</v>
      </c>
      <c r="C25" s="27"/>
      <c r="D25" s="27"/>
      <c r="E25" s="27">
        <v>4.71</v>
      </c>
      <c r="F25" s="27">
        <v>1.22</v>
      </c>
      <c r="G25" s="27">
        <v>6.19</v>
      </c>
      <c r="H25" s="27">
        <v>2.37</v>
      </c>
      <c r="I25" s="27">
        <v>3.28</v>
      </c>
      <c r="J25" s="27">
        <v>1</v>
      </c>
      <c r="K25" s="27">
        <v>1.97</v>
      </c>
      <c r="L25" s="27">
        <v>1.1000000000000001</v>
      </c>
      <c r="M25" s="27"/>
      <c r="N25" s="27"/>
      <c r="O25" s="27"/>
      <c r="P25" s="31" t="s">
        <v>37</v>
      </c>
      <c r="Q25" s="23" t="str">
        <f t="shared" si="0"/>
        <v>普通采样点</v>
      </c>
      <c r="R25" s="23" t="str">
        <f>VLOOKUP(P25,表单1_清洗!$A$2:$E$59,3,FALSE)</f>
        <v>高钾</v>
      </c>
      <c r="S25" s="23" t="str">
        <f>VLOOKUP(P25,表单1_清洗!$A$2:$E$59,5,FALSE)</f>
        <v>无风化</v>
      </c>
      <c r="T25" s="23" t="str">
        <f t="shared" si="1"/>
        <v>无风化</v>
      </c>
      <c r="U25" s="29">
        <f t="shared" si="2"/>
        <v>98.52</v>
      </c>
      <c r="V25" s="23" t="str">
        <f t="shared" si="3"/>
        <v>有效</v>
      </c>
      <c r="W25" s="23">
        <f t="shared" si="4"/>
        <v>5</v>
      </c>
      <c r="X25" s="30">
        <f t="shared" si="5"/>
        <v>77.831912302070663</v>
      </c>
      <c r="Y25" s="30">
        <f t="shared" si="6"/>
        <v>0</v>
      </c>
      <c r="Z25" s="30">
        <f t="shared" si="7"/>
        <v>0</v>
      </c>
      <c r="AA25" s="30">
        <f t="shared" si="8"/>
        <v>4.7807551766138854</v>
      </c>
      <c r="AB25" s="30">
        <f t="shared" si="9"/>
        <v>1.2383272431993504</v>
      </c>
      <c r="AC25" s="30">
        <f t="shared" si="10"/>
        <v>6.2829882257409668</v>
      </c>
      <c r="AD25" s="30">
        <f t="shared" si="11"/>
        <v>2.4056029232643121</v>
      </c>
      <c r="AE25" s="30">
        <f t="shared" si="12"/>
        <v>3.3292732440113681</v>
      </c>
      <c r="AF25" s="30">
        <f t="shared" si="13"/>
        <v>1.0150223304912709</v>
      </c>
      <c r="AG25" s="30">
        <f t="shared" si="14"/>
        <v>1.9995939910678033</v>
      </c>
      <c r="AH25" s="30">
        <f t="shared" si="15"/>
        <v>1.116524563540398</v>
      </c>
      <c r="AI25" s="30">
        <f t="shared" si="16"/>
        <v>0</v>
      </c>
      <c r="AJ25" s="30">
        <f t="shared" si="17"/>
        <v>0</v>
      </c>
      <c r="AK25" s="30">
        <f t="shared" si="18"/>
        <v>0</v>
      </c>
      <c r="AL25" s="30">
        <f t="shared" si="19"/>
        <v>100.00000000000001</v>
      </c>
    </row>
    <row r="26" spans="1:38">
      <c r="A26" s="26" t="s">
        <v>38</v>
      </c>
      <c r="B26" s="27">
        <v>92.35</v>
      </c>
      <c r="C26" s="27"/>
      <c r="D26" s="27">
        <v>0.74</v>
      </c>
      <c r="E26" s="27">
        <v>1.66</v>
      </c>
      <c r="F26" s="27">
        <v>0.64</v>
      </c>
      <c r="G26" s="27">
        <v>3.5</v>
      </c>
      <c r="H26" s="27">
        <v>0.35</v>
      </c>
      <c r="I26" s="27">
        <v>0.55000000000000004</v>
      </c>
      <c r="J26" s="27"/>
      <c r="K26" s="27"/>
      <c r="L26" s="27">
        <v>0.21</v>
      </c>
      <c r="M26" s="27"/>
      <c r="N26" s="27"/>
      <c r="O26" s="27"/>
      <c r="P26" s="31" t="s">
        <v>38</v>
      </c>
      <c r="Q26" s="23" t="str">
        <f t="shared" si="0"/>
        <v>普通采样点</v>
      </c>
      <c r="R26" s="23" t="str">
        <f>VLOOKUP(P26,表单1_清洗!$A$2:$E$59,3,FALSE)</f>
        <v>高钾</v>
      </c>
      <c r="S26" s="23" t="str">
        <f>VLOOKUP(P26,表单1_清洗!$A$2:$E$59,5,FALSE)</f>
        <v>风化</v>
      </c>
      <c r="T26" s="23" t="str">
        <f t="shared" si="1"/>
        <v>风化</v>
      </c>
      <c r="U26" s="29">
        <f t="shared" si="2"/>
        <v>99.999999999999972</v>
      </c>
      <c r="V26" s="23" t="str">
        <f t="shared" si="3"/>
        <v>有效</v>
      </c>
      <c r="W26" s="23">
        <f t="shared" si="4"/>
        <v>6</v>
      </c>
      <c r="X26" s="30">
        <f t="shared" si="5"/>
        <v>92.350000000000023</v>
      </c>
      <c r="Y26" s="30">
        <f t="shared" si="6"/>
        <v>0</v>
      </c>
      <c r="Z26" s="30">
        <f t="shared" si="7"/>
        <v>0.74000000000000021</v>
      </c>
      <c r="AA26" s="30">
        <f t="shared" si="8"/>
        <v>1.6600000000000004</v>
      </c>
      <c r="AB26" s="30">
        <f t="shared" si="9"/>
        <v>0.64000000000000024</v>
      </c>
      <c r="AC26" s="30">
        <f t="shared" si="10"/>
        <v>3.5000000000000009</v>
      </c>
      <c r="AD26" s="30">
        <f t="shared" si="11"/>
        <v>0.35000000000000009</v>
      </c>
      <c r="AE26" s="30">
        <f t="shared" si="12"/>
        <v>0.55000000000000027</v>
      </c>
      <c r="AF26" s="30">
        <f t="shared" si="13"/>
        <v>0</v>
      </c>
      <c r="AG26" s="30">
        <f t="shared" si="14"/>
        <v>0</v>
      </c>
      <c r="AH26" s="30">
        <f t="shared" si="15"/>
        <v>0.21000000000000002</v>
      </c>
      <c r="AI26" s="30">
        <f t="shared" si="16"/>
        <v>0</v>
      </c>
      <c r="AJ26" s="30">
        <f t="shared" si="17"/>
        <v>0</v>
      </c>
      <c r="AK26" s="30">
        <f t="shared" si="18"/>
        <v>0</v>
      </c>
      <c r="AL26" s="30">
        <f t="shared" si="19"/>
        <v>100</v>
      </c>
    </row>
    <row r="27" spans="1:38">
      <c r="A27" s="26" t="s">
        <v>98</v>
      </c>
      <c r="B27" s="27">
        <v>53.79</v>
      </c>
      <c r="C27" s="27">
        <v>7.92</v>
      </c>
      <c r="D27" s="27"/>
      <c r="E27" s="27">
        <v>0.5</v>
      </c>
      <c r="F27" s="27">
        <v>0.71</v>
      </c>
      <c r="G27" s="27">
        <v>1.42</v>
      </c>
      <c r="H27" s="27"/>
      <c r="I27" s="27">
        <v>2.99</v>
      </c>
      <c r="J27" s="27">
        <v>16.98</v>
      </c>
      <c r="K27" s="27">
        <v>11.86</v>
      </c>
      <c r="L27" s="27"/>
      <c r="M27" s="27">
        <v>0.33</v>
      </c>
      <c r="N27" s="27"/>
      <c r="O27" s="27"/>
      <c r="P27" s="31" t="s">
        <v>39</v>
      </c>
      <c r="Q27" s="23" t="str">
        <f t="shared" si="0"/>
        <v>未风化点</v>
      </c>
      <c r="R27" s="23" t="str">
        <f>VLOOKUP(P27,表单1_清洗!$A$2:$E$59,3,FALSE)</f>
        <v>铅钡</v>
      </c>
      <c r="S27" s="23" t="str">
        <f>VLOOKUP(P27,表单1_清洗!$A$2:$E$59,5,FALSE)</f>
        <v>风化</v>
      </c>
      <c r="T27" s="23" t="str">
        <f t="shared" si="1"/>
        <v>无风化</v>
      </c>
      <c r="U27" s="29">
        <f t="shared" si="2"/>
        <v>96.5</v>
      </c>
      <c r="V27" s="23" t="str">
        <f t="shared" si="3"/>
        <v>有效</v>
      </c>
      <c r="W27" s="23">
        <f t="shared" si="4"/>
        <v>5</v>
      </c>
      <c r="X27" s="30">
        <f t="shared" si="5"/>
        <v>55.740932642487053</v>
      </c>
      <c r="Y27" s="30">
        <f t="shared" si="6"/>
        <v>8.2072538860103634</v>
      </c>
      <c r="Z27" s="30">
        <f t="shared" si="7"/>
        <v>0</v>
      </c>
      <c r="AA27" s="30">
        <f t="shared" si="8"/>
        <v>0.5181347150259068</v>
      </c>
      <c r="AB27" s="30">
        <f t="shared" si="9"/>
        <v>0.73575129533678751</v>
      </c>
      <c r="AC27" s="30">
        <f t="shared" si="10"/>
        <v>1.471502590673575</v>
      </c>
      <c r="AD27" s="30">
        <f t="shared" si="11"/>
        <v>0</v>
      </c>
      <c r="AE27" s="30">
        <f t="shared" si="12"/>
        <v>3.0984455958549222</v>
      </c>
      <c r="AF27" s="30">
        <f t="shared" si="13"/>
        <v>17.595854922279795</v>
      </c>
      <c r="AG27" s="30">
        <f t="shared" si="14"/>
        <v>12.290155440414507</v>
      </c>
      <c r="AH27" s="30">
        <f t="shared" si="15"/>
        <v>0</v>
      </c>
      <c r="AI27" s="30">
        <f t="shared" si="16"/>
        <v>0.34196891191709849</v>
      </c>
      <c r="AJ27" s="30">
        <f t="shared" si="17"/>
        <v>0</v>
      </c>
      <c r="AK27" s="30">
        <f t="shared" si="18"/>
        <v>0</v>
      </c>
      <c r="AL27" s="30">
        <f t="shared" si="19"/>
        <v>100.00000000000001</v>
      </c>
    </row>
    <row r="28" spans="1:38">
      <c r="A28" s="26" t="s">
        <v>40</v>
      </c>
      <c r="B28" s="27">
        <v>31.94</v>
      </c>
      <c r="C28" s="27"/>
      <c r="D28" s="27"/>
      <c r="E28" s="27">
        <v>0.47</v>
      </c>
      <c r="F28" s="27"/>
      <c r="G28" s="27">
        <v>1.59</v>
      </c>
      <c r="H28" s="27"/>
      <c r="I28" s="27">
        <v>8.4600000000000009</v>
      </c>
      <c r="J28" s="27">
        <v>29.14</v>
      </c>
      <c r="K28" s="27">
        <v>26.23</v>
      </c>
      <c r="L28" s="27">
        <v>0.14000000000000001</v>
      </c>
      <c r="M28" s="27">
        <v>0.91</v>
      </c>
      <c r="N28" s="27"/>
      <c r="O28" s="27"/>
      <c r="P28" s="31" t="s">
        <v>40</v>
      </c>
      <c r="Q28" s="23" t="str">
        <f t="shared" si="0"/>
        <v>普通采样点</v>
      </c>
      <c r="R28" s="23" t="str">
        <f>VLOOKUP(P28,表单1_清洗!$A$2:$E$59,3,FALSE)</f>
        <v>铅钡</v>
      </c>
      <c r="S28" s="23" t="str">
        <f>VLOOKUP(P28,表单1_清洗!$A$2:$E$59,5,FALSE)</f>
        <v>无风化</v>
      </c>
      <c r="T28" s="23" t="str">
        <f t="shared" si="1"/>
        <v>无风化</v>
      </c>
      <c r="U28" s="29">
        <f t="shared" si="2"/>
        <v>98.88000000000001</v>
      </c>
      <c r="V28" s="23" t="str">
        <f t="shared" si="3"/>
        <v>有效</v>
      </c>
      <c r="W28" s="23">
        <f t="shared" si="4"/>
        <v>6</v>
      </c>
      <c r="X28" s="30">
        <f t="shared" si="5"/>
        <v>32.301779935275079</v>
      </c>
      <c r="Y28" s="30">
        <f t="shared" si="6"/>
        <v>0</v>
      </c>
      <c r="Z28" s="30">
        <f t="shared" si="7"/>
        <v>0</v>
      </c>
      <c r="AA28" s="30">
        <f t="shared" si="8"/>
        <v>0.47532362459546917</v>
      </c>
      <c r="AB28" s="30">
        <f t="shared" si="9"/>
        <v>0</v>
      </c>
      <c r="AC28" s="30">
        <f t="shared" si="10"/>
        <v>1.608009708737864</v>
      </c>
      <c r="AD28" s="30">
        <f t="shared" si="11"/>
        <v>0</v>
      </c>
      <c r="AE28" s="30">
        <f t="shared" si="12"/>
        <v>8.5558252427184467</v>
      </c>
      <c r="AF28" s="30">
        <f t="shared" si="13"/>
        <v>29.470064724919094</v>
      </c>
      <c r="AG28" s="30">
        <f t="shared" si="14"/>
        <v>26.527103559870547</v>
      </c>
      <c r="AH28" s="30">
        <f t="shared" si="15"/>
        <v>0.14158576051779936</v>
      </c>
      <c r="AI28" s="30">
        <f t="shared" si="16"/>
        <v>0.92030744336569581</v>
      </c>
      <c r="AJ28" s="30">
        <f t="shared" si="17"/>
        <v>0</v>
      </c>
      <c r="AK28" s="30">
        <f t="shared" si="18"/>
        <v>0</v>
      </c>
      <c r="AL28" s="30">
        <f t="shared" si="19"/>
        <v>100</v>
      </c>
    </row>
    <row r="29" spans="1:38">
      <c r="A29" s="26" t="s">
        <v>99</v>
      </c>
      <c r="B29" s="27">
        <v>50.61</v>
      </c>
      <c r="C29" s="27">
        <v>2.31</v>
      </c>
      <c r="D29" s="27"/>
      <c r="E29" s="27">
        <v>0.63</v>
      </c>
      <c r="F29" s="27"/>
      <c r="G29" s="27">
        <v>1.9</v>
      </c>
      <c r="H29" s="27">
        <v>1.55</v>
      </c>
      <c r="I29" s="27">
        <v>1.1200000000000001</v>
      </c>
      <c r="J29" s="27">
        <v>31.9</v>
      </c>
      <c r="K29" s="27">
        <v>6.65</v>
      </c>
      <c r="L29" s="27">
        <v>0.19</v>
      </c>
      <c r="M29" s="27">
        <v>0.2</v>
      </c>
      <c r="N29" s="27"/>
      <c r="O29" s="27"/>
      <c r="P29" s="31" t="s">
        <v>41</v>
      </c>
      <c r="Q29" s="23" t="str">
        <f t="shared" si="0"/>
        <v>未风化点</v>
      </c>
      <c r="R29" s="23" t="str">
        <f>VLOOKUP(P29,表单1_清洗!$A$2:$E$59,3,FALSE)</f>
        <v>铅钡</v>
      </c>
      <c r="S29" s="23" t="str">
        <f>VLOOKUP(P29,表单1_清洗!$A$2:$E$59,5,FALSE)</f>
        <v>风化</v>
      </c>
      <c r="T29" s="23" t="str">
        <f t="shared" si="1"/>
        <v>无风化</v>
      </c>
      <c r="U29" s="29">
        <f t="shared" si="2"/>
        <v>97.06</v>
      </c>
      <c r="V29" s="23" t="str">
        <f t="shared" si="3"/>
        <v>有效</v>
      </c>
      <c r="W29" s="23">
        <f t="shared" si="4"/>
        <v>4</v>
      </c>
      <c r="X29" s="30">
        <f t="shared" si="5"/>
        <v>52.143004327220275</v>
      </c>
      <c r="Y29" s="30">
        <f t="shared" si="6"/>
        <v>2.3799711518648259</v>
      </c>
      <c r="Z29" s="30">
        <f t="shared" si="7"/>
        <v>0</v>
      </c>
      <c r="AA29" s="30">
        <f t="shared" si="8"/>
        <v>0.6490830414176797</v>
      </c>
      <c r="AB29" s="30">
        <f t="shared" si="9"/>
        <v>0</v>
      </c>
      <c r="AC29" s="30">
        <f t="shared" si="10"/>
        <v>1.9575520296723676</v>
      </c>
      <c r="AD29" s="30">
        <f t="shared" si="11"/>
        <v>1.5969503399958789</v>
      </c>
      <c r="AE29" s="30">
        <f t="shared" si="12"/>
        <v>1.153925406964764</v>
      </c>
      <c r="AF29" s="30">
        <f t="shared" si="13"/>
        <v>32.866268287657121</v>
      </c>
      <c r="AG29" s="30">
        <f t="shared" si="14"/>
        <v>6.8514321038532877</v>
      </c>
      <c r="AH29" s="30">
        <f t="shared" si="15"/>
        <v>0.19575520296723675</v>
      </c>
      <c r="AI29" s="30">
        <f t="shared" si="16"/>
        <v>0.20605810838656502</v>
      </c>
      <c r="AJ29" s="30">
        <f t="shared" si="17"/>
        <v>0</v>
      </c>
      <c r="AK29" s="30">
        <f t="shared" si="18"/>
        <v>0</v>
      </c>
      <c r="AL29" s="30">
        <f t="shared" si="19"/>
        <v>100.00000000000001</v>
      </c>
    </row>
    <row r="30" spans="1:38">
      <c r="A30" s="26" t="s">
        <v>42</v>
      </c>
      <c r="B30" s="27">
        <v>19.79</v>
      </c>
      <c r="C30" s="27"/>
      <c r="D30" s="27"/>
      <c r="E30" s="27">
        <v>1.44</v>
      </c>
      <c r="F30" s="27"/>
      <c r="G30" s="27">
        <v>0.7</v>
      </c>
      <c r="H30" s="27"/>
      <c r="I30" s="27">
        <v>10.57</v>
      </c>
      <c r="J30" s="27">
        <v>29.53</v>
      </c>
      <c r="K30" s="27">
        <v>32.25</v>
      </c>
      <c r="L30" s="27">
        <v>3.13</v>
      </c>
      <c r="M30" s="27">
        <v>0.45</v>
      </c>
      <c r="N30" s="27"/>
      <c r="O30" s="27">
        <v>1.96</v>
      </c>
      <c r="P30" s="31" t="s">
        <v>42</v>
      </c>
      <c r="Q30" s="23" t="str">
        <f t="shared" si="0"/>
        <v>普通采样点</v>
      </c>
      <c r="R30" s="23" t="str">
        <f>VLOOKUP(P30,表单1_清洗!$A$2:$E$59,3,FALSE)</f>
        <v>铅钡</v>
      </c>
      <c r="S30" s="23" t="str">
        <f>VLOOKUP(P30,表单1_清洗!$A$2:$E$59,5,FALSE)</f>
        <v>风化</v>
      </c>
      <c r="T30" s="23" t="str">
        <f t="shared" si="1"/>
        <v>风化</v>
      </c>
      <c r="U30" s="29">
        <f t="shared" si="2"/>
        <v>99.82</v>
      </c>
      <c r="V30" s="23" t="str">
        <f t="shared" si="3"/>
        <v>有效</v>
      </c>
      <c r="W30" s="23">
        <f t="shared" si="4"/>
        <v>5</v>
      </c>
      <c r="X30" s="30">
        <f t="shared" si="5"/>
        <v>19.825686235223401</v>
      </c>
      <c r="Y30" s="30">
        <f t="shared" si="6"/>
        <v>0</v>
      </c>
      <c r="Z30" s="30">
        <f t="shared" si="7"/>
        <v>0</v>
      </c>
      <c r="AA30" s="30">
        <f t="shared" si="8"/>
        <v>1.4425966740132239</v>
      </c>
      <c r="AB30" s="30">
        <f t="shared" si="9"/>
        <v>0</v>
      </c>
      <c r="AC30" s="30">
        <f t="shared" si="10"/>
        <v>0.70126227208976155</v>
      </c>
      <c r="AD30" s="30">
        <f t="shared" si="11"/>
        <v>0</v>
      </c>
      <c r="AE30" s="30">
        <f t="shared" si="12"/>
        <v>10.589060308555402</v>
      </c>
      <c r="AF30" s="30">
        <f t="shared" si="13"/>
        <v>29.583249849729516</v>
      </c>
      <c r="AG30" s="30">
        <f t="shared" si="14"/>
        <v>32.308154678421161</v>
      </c>
      <c r="AH30" s="30">
        <f t="shared" si="15"/>
        <v>3.135644159487077</v>
      </c>
      <c r="AI30" s="30">
        <f t="shared" si="16"/>
        <v>0.45081146062913252</v>
      </c>
      <c r="AJ30" s="30">
        <f t="shared" si="17"/>
        <v>0</v>
      </c>
      <c r="AK30" s="30">
        <f t="shared" si="18"/>
        <v>1.9635343618513323</v>
      </c>
      <c r="AL30" s="30">
        <f t="shared" si="19"/>
        <v>99.999999999999986</v>
      </c>
    </row>
    <row r="31" spans="1:38">
      <c r="A31" s="26" t="s">
        <v>100</v>
      </c>
      <c r="B31" s="27">
        <v>3.72</v>
      </c>
      <c r="C31" s="27"/>
      <c r="D31" s="27">
        <v>0.4</v>
      </c>
      <c r="E31" s="27">
        <v>3.01</v>
      </c>
      <c r="F31" s="27"/>
      <c r="G31" s="27">
        <v>1.18</v>
      </c>
      <c r="H31" s="27"/>
      <c r="I31" s="27">
        <v>3.6</v>
      </c>
      <c r="J31" s="27">
        <v>29.92</v>
      </c>
      <c r="K31" s="27">
        <v>35.450000000000003</v>
      </c>
      <c r="L31" s="27">
        <v>6.04</v>
      </c>
      <c r="M31" s="27">
        <v>0.62</v>
      </c>
      <c r="N31" s="27"/>
      <c r="O31" s="27">
        <v>15.95</v>
      </c>
      <c r="P31" s="31" t="s">
        <v>42</v>
      </c>
      <c r="Q31" s="23" t="str">
        <f t="shared" si="0"/>
        <v>严重风化点</v>
      </c>
      <c r="R31" s="23" t="str">
        <f>VLOOKUP(P31,表单1_清洗!$A$2:$E$59,3,FALSE)</f>
        <v>铅钡</v>
      </c>
      <c r="S31" s="23" t="str">
        <f>VLOOKUP(P31,表单1_清洗!$A$2:$E$59,5,FALSE)</f>
        <v>风化</v>
      </c>
      <c r="T31" s="23" t="str">
        <f t="shared" si="1"/>
        <v>风化</v>
      </c>
      <c r="U31" s="29">
        <f t="shared" si="2"/>
        <v>99.890000000000015</v>
      </c>
      <c r="V31" s="23" t="str">
        <f t="shared" si="3"/>
        <v>有效</v>
      </c>
      <c r="W31" s="23">
        <f t="shared" si="4"/>
        <v>4</v>
      </c>
      <c r="X31" s="30">
        <f t="shared" si="5"/>
        <v>3.7240965061567723</v>
      </c>
      <c r="Y31" s="30">
        <f t="shared" si="6"/>
        <v>0</v>
      </c>
      <c r="Z31" s="30">
        <f t="shared" si="7"/>
        <v>0.4004404845329862</v>
      </c>
      <c r="AA31" s="30">
        <f t="shared" si="8"/>
        <v>3.0133146461107212</v>
      </c>
      <c r="AB31" s="30">
        <f t="shared" si="9"/>
        <v>0</v>
      </c>
      <c r="AC31" s="30">
        <f t="shared" si="10"/>
        <v>1.1812994293723094</v>
      </c>
      <c r="AD31" s="30">
        <f t="shared" si="11"/>
        <v>0</v>
      </c>
      <c r="AE31" s="30">
        <f t="shared" si="12"/>
        <v>3.6039643607968763</v>
      </c>
      <c r="AF31" s="30">
        <f t="shared" si="13"/>
        <v>29.952948243067372</v>
      </c>
      <c r="AG31" s="30">
        <f t="shared" si="14"/>
        <v>35.489037941735909</v>
      </c>
      <c r="AH31" s="30">
        <f t="shared" si="15"/>
        <v>6.0466513164480924</v>
      </c>
      <c r="AI31" s="30">
        <f t="shared" si="16"/>
        <v>0.62068275102612858</v>
      </c>
      <c r="AJ31" s="30">
        <f t="shared" si="17"/>
        <v>0</v>
      </c>
      <c r="AK31" s="30">
        <f t="shared" si="18"/>
        <v>15.967564320752825</v>
      </c>
      <c r="AL31" s="30">
        <f t="shared" si="19"/>
        <v>100</v>
      </c>
    </row>
    <row r="32" spans="1:38">
      <c r="A32" s="26" t="s">
        <v>43</v>
      </c>
      <c r="B32" s="27">
        <v>92.72</v>
      </c>
      <c r="C32" s="27"/>
      <c r="D32" s="27"/>
      <c r="E32" s="27">
        <v>0.94</v>
      </c>
      <c r="F32" s="27">
        <v>0.54</v>
      </c>
      <c r="G32" s="27">
        <v>2.5099999999999998</v>
      </c>
      <c r="H32" s="27">
        <v>0.2</v>
      </c>
      <c r="I32" s="27">
        <v>1.54</v>
      </c>
      <c r="J32" s="27"/>
      <c r="K32" s="27"/>
      <c r="L32" s="27">
        <v>0.36</v>
      </c>
      <c r="M32" s="27"/>
      <c r="N32" s="27"/>
      <c r="O32" s="27"/>
      <c r="P32" s="31" t="s">
        <v>43</v>
      </c>
      <c r="Q32" s="23" t="str">
        <f t="shared" si="0"/>
        <v>普通采样点</v>
      </c>
      <c r="R32" s="23" t="str">
        <f>VLOOKUP(P32,表单1_清洗!$A$2:$E$59,3,FALSE)</f>
        <v>高钾</v>
      </c>
      <c r="S32" s="23" t="str">
        <f>VLOOKUP(P32,表单1_清洗!$A$2:$E$59,5,FALSE)</f>
        <v>风化</v>
      </c>
      <c r="T32" s="23" t="str">
        <f t="shared" si="1"/>
        <v>风化</v>
      </c>
      <c r="U32" s="29">
        <f t="shared" si="2"/>
        <v>98.810000000000016</v>
      </c>
      <c r="V32" s="23" t="str">
        <f t="shared" si="3"/>
        <v>有效</v>
      </c>
      <c r="W32" s="23">
        <f t="shared" si="4"/>
        <v>7</v>
      </c>
      <c r="X32" s="30">
        <f t="shared" si="5"/>
        <v>93.836656208885728</v>
      </c>
      <c r="Y32" s="30">
        <f t="shared" si="6"/>
        <v>0</v>
      </c>
      <c r="Z32" s="30">
        <f t="shared" si="7"/>
        <v>0</v>
      </c>
      <c r="AA32" s="30">
        <f t="shared" si="8"/>
        <v>0.95132071652666705</v>
      </c>
      <c r="AB32" s="30">
        <f t="shared" si="9"/>
        <v>0.54650339034510664</v>
      </c>
      <c r="AC32" s="30">
        <f t="shared" si="10"/>
        <v>2.5402287217892918</v>
      </c>
      <c r="AD32" s="30">
        <f t="shared" si="11"/>
        <v>0.20240866309078026</v>
      </c>
      <c r="AE32" s="30">
        <f t="shared" si="12"/>
        <v>1.5585467057990081</v>
      </c>
      <c r="AF32" s="30">
        <f t="shared" si="13"/>
        <v>0</v>
      </c>
      <c r="AG32" s="30">
        <f t="shared" si="14"/>
        <v>0</v>
      </c>
      <c r="AH32" s="30">
        <f t="shared" si="15"/>
        <v>0.36433559356340445</v>
      </c>
      <c r="AI32" s="30">
        <f t="shared" si="16"/>
        <v>0</v>
      </c>
      <c r="AJ32" s="30">
        <f t="shared" si="17"/>
        <v>0</v>
      </c>
      <c r="AK32" s="30">
        <f t="shared" si="18"/>
        <v>0</v>
      </c>
      <c r="AL32" s="30">
        <f t="shared" si="19"/>
        <v>99.999999999999986</v>
      </c>
    </row>
    <row r="33" spans="1:38">
      <c r="A33" s="26" t="s">
        <v>101</v>
      </c>
      <c r="B33" s="27">
        <v>68.08</v>
      </c>
      <c r="C33" s="27"/>
      <c r="D33" s="27">
        <v>0.26</v>
      </c>
      <c r="E33" s="27">
        <v>1.34</v>
      </c>
      <c r="F33" s="27">
        <v>1</v>
      </c>
      <c r="G33" s="27">
        <v>4.7</v>
      </c>
      <c r="H33" s="27">
        <v>0.41</v>
      </c>
      <c r="I33" s="27">
        <v>0.33</v>
      </c>
      <c r="J33" s="27">
        <v>17.14</v>
      </c>
      <c r="K33" s="27">
        <v>4.04</v>
      </c>
      <c r="L33" s="27">
        <v>1.04</v>
      </c>
      <c r="M33" s="27">
        <v>0.12</v>
      </c>
      <c r="N33" s="27">
        <v>0.23</v>
      </c>
      <c r="O33" s="27"/>
      <c r="P33" s="31" t="s">
        <v>44</v>
      </c>
      <c r="Q33" s="23" t="str">
        <f t="shared" si="0"/>
        <v>未风化点</v>
      </c>
      <c r="R33" s="23" t="str">
        <f>VLOOKUP(P33,表单1_清洗!$A$2:$E$59,3,FALSE)</f>
        <v>铅钡</v>
      </c>
      <c r="S33" s="23" t="str">
        <f>VLOOKUP(P33,表单1_清洗!$A$2:$E$59,5,FALSE)</f>
        <v>风化</v>
      </c>
      <c r="T33" s="23" t="str">
        <f t="shared" si="1"/>
        <v>无风化</v>
      </c>
      <c r="U33" s="29">
        <f t="shared" si="2"/>
        <v>98.690000000000026</v>
      </c>
      <c r="V33" s="23" t="str">
        <f t="shared" si="3"/>
        <v>有效</v>
      </c>
      <c r="W33" s="23">
        <f t="shared" si="4"/>
        <v>2</v>
      </c>
      <c r="X33" s="30">
        <f t="shared" si="5"/>
        <v>68.983686290404279</v>
      </c>
      <c r="Y33" s="30">
        <f t="shared" si="6"/>
        <v>0</v>
      </c>
      <c r="Z33" s="30">
        <f t="shared" si="7"/>
        <v>0.26345121086229606</v>
      </c>
      <c r="AA33" s="30">
        <f t="shared" si="8"/>
        <v>1.3577870098287566</v>
      </c>
      <c r="AB33" s="30">
        <f t="shared" si="9"/>
        <v>1.0132738879319079</v>
      </c>
      <c r="AC33" s="30">
        <f t="shared" si="10"/>
        <v>4.7623872732799661</v>
      </c>
      <c r="AD33" s="30">
        <f t="shared" si="11"/>
        <v>0.41544229405208216</v>
      </c>
      <c r="AE33" s="30">
        <f t="shared" si="12"/>
        <v>0.33438038301752954</v>
      </c>
      <c r="AF33" s="30">
        <f t="shared" si="13"/>
        <v>17.367514439152899</v>
      </c>
      <c r="AG33" s="30">
        <f t="shared" si="14"/>
        <v>4.0936265072449078</v>
      </c>
      <c r="AH33" s="30">
        <f t="shared" si="15"/>
        <v>1.0538048434491842</v>
      </c>
      <c r="AI33" s="30">
        <f t="shared" si="16"/>
        <v>0.12159286655182891</v>
      </c>
      <c r="AJ33" s="30">
        <f t="shared" si="17"/>
        <v>0.23305299422433878</v>
      </c>
      <c r="AK33" s="30">
        <f t="shared" si="18"/>
        <v>0</v>
      </c>
      <c r="AL33" s="30">
        <f t="shared" si="19"/>
        <v>99.999999999999972</v>
      </c>
    </row>
    <row r="34" spans="1:38">
      <c r="A34" s="26" t="s">
        <v>102</v>
      </c>
      <c r="B34" s="27">
        <v>63.3</v>
      </c>
      <c r="C34" s="27">
        <v>0.92</v>
      </c>
      <c r="D34" s="27">
        <v>0.3</v>
      </c>
      <c r="E34" s="27">
        <v>2.98</v>
      </c>
      <c r="F34" s="27">
        <v>1.49</v>
      </c>
      <c r="G34" s="27">
        <v>14.34</v>
      </c>
      <c r="H34" s="27">
        <v>0.81</v>
      </c>
      <c r="I34" s="27">
        <v>0.74</v>
      </c>
      <c r="J34" s="27">
        <v>12.31</v>
      </c>
      <c r="K34" s="27">
        <v>2.0299999999999998</v>
      </c>
      <c r="L34" s="27">
        <v>0.41</v>
      </c>
      <c r="M34" s="27">
        <v>0.25</v>
      </c>
      <c r="N34" s="27"/>
      <c r="O34" s="27"/>
      <c r="P34" s="31" t="s">
        <v>45</v>
      </c>
      <c r="Q34" s="23" t="str">
        <f t="shared" ref="Q34:Q70" si="20">IF(ISNUMBER(SEARCH("未风化点",A34)),"未风化点",IF(ISNUMBER(SEARCH("严重风化点",A34)),"严重风化点",IF(ISNUMBER(SEARCH("部位",A34)),"不同部位","普通采样点")))</f>
        <v>未风化点</v>
      </c>
      <c r="R34" s="23" t="str">
        <f>VLOOKUP(P34,表单1_清洗!$A$2:$E$59,3,FALSE)</f>
        <v>铅钡</v>
      </c>
      <c r="S34" s="23" t="str">
        <f>VLOOKUP(P34,表单1_清洗!$A$2:$E$59,5,FALSE)</f>
        <v>风化</v>
      </c>
      <c r="T34" s="23" t="str">
        <f t="shared" ref="T34:T65" si="21">IF(ISNUMBER(SEARCH("未风化点",A34)),"无风化",IF(ISNUMBER(SEARCH("严重风化点",A34)),"风化",S34))</f>
        <v>无风化</v>
      </c>
      <c r="U34" s="29">
        <f t="shared" ref="U34:U70" si="22">SUM(B34:O34)</f>
        <v>99.88</v>
      </c>
      <c r="V34" s="23" t="str">
        <f t="shared" ref="V34:V65" si="23">IF(AND(U34&gt;=85,U34&lt;=105),"有效","无效")</f>
        <v>有效</v>
      </c>
      <c r="W34" s="23">
        <f t="shared" ref="W34:W70" si="24">COUNTBLANK(B34:O34)+COUNTIF(B34:O34,0)</f>
        <v>2</v>
      </c>
      <c r="X34" s="30">
        <f t="shared" ref="X34:X70" si="25">IF($V34="无效","",IF(B34="",0,B34/$U34*100))</f>
        <v>63.376051261513823</v>
      </c>
      <c r="Y34" s="30">
        <f t="shared" ref="Y34:Y70" si="26">IF($V34="无效","",IF(C34="",0,C34/$U34*100))</f>
        <v>0.92110532639167009</v>
      </c>
      <c r="Z34" s="30">
        <f t="shared" ref="Z34:Z70" si="27">IF($V34="无效","",IF(D34="",0,D34/$U34*100))</f>
        <v>0.30036043251902284</v>
      </c>
      <c r="AA34" s="30">
        <f t="shared" ref="AA34:AA70" si="28">IF($V34="无效","",IF(E34="",0,E34/$U34*100))</f>
        <v>2.9835802963556266</v>
      </c>
      <c r="AB34" s="30">
        <f t="shared" ref="AB34:AB70" si="29">IF($V34="无效","",IF(F34="",0,F34/$U34*100))</f>
        <v>1.4917901481778133</v>
      </c>
      <c r="AC34" s="30">
        <f t="shared" ref="AC34:AC70" si="30">IF($V34="无效","",IF(G34="",0,G34/$U34*100))</f>
        <v>14.357228674409292</v>
      </c>
      <c r="AD34" s="30">
        <f t="shared" ref="AD34:AD70" si="31">IF($V34="无效","",IF(H34="",0,H34/$U34*100))</f>
        <v>0.81097316780136175</v>
      </c>
      <c r="AE34" s="30">
        <f t="shared" ref="AE34:AE70" si="32">IF($V34="无效","",IF(I34="",0,I34/$U34*100))</f>
        <v>0.74088906688025635</v>
      </c>
      <c r="AF34" s="30">
        <f t="shared" ref="AF34:AF70" si="33">IF($V34="无效","",IF(J34="",0,J34/$U34*100))</f>
        <v>12.324789747697237</v>
      </c>
      <c r="AG34" s="30">
        <f t="shared" ref="AG34:AG70" si="34">IF($V34="无效","",IF(K34="",0,K34/$U34*100))</f>
        <v>2.0324389267120542</v>
      </c>
      <c r="AH34" s="30">
        <f t="shared" ref="AH34:AH70" si="35">IF($V34="无效","",IF(L34="",0,L34/$U34*100))</f>
        <v>0.41049259110933117</v>
      </c>
      <c r="AI34" s="30">
        <f t="shared" ref="AI34:AI70" si="36">IF($V34="无效","",IF(M34="",0,M34/$U34*100))</f>
        <v>0.25030036043251902</v>
      </c>
      <c r="AJ34" s="30">
        <f t="shared" ref="AJ34:AJ70" si="37">IF($V34="无效","",IF(N34="",0,N34/$U34*100))</f>
        <v>0</v>
      </c>
      <c r="AK34" s="30">
        <f t="shared" ref="AK34:AK70" si="38">IF($V34="无效","",IF(O34="",0,O34/$U34*100))</f>
        <v>0</v>
      </c>
      <c r="AL34" s="30">
        <f t="shared" ref="AL34:AL65" si="39">IF(V34="有效",SUM(X34:AK34),"")</f>
        <v>100.00000000000001</v>
      </c>
    </row>
    <row r="35" spans="1:38">
      <c r="A35" s="26" t="s">
        <v>103</v>
      </c>
      <c r="B35" s="27">
        <v>34.340000000000003</v>
      </c>
      <c r="C35" s="27"/>
      <c r="D35" s="27">
        <v>1.41</v>
      </c>
      <c r="E35" s="27">
        <v>4.49</v>
      </c>
      <c r="F35" s="27">
        <v>0.98</v>
      </c>
      <c r="G35" s="27">
        <v>4.3499999999999996</v>
      </c>
      <c r="H35" s="27">
        <v>2.12</v>
      </c>
      <c r="I35" s="27"/>
      <c r="J35" s="27">
        <v>39.22</v>
      </c>
      <c r="K35" s="27">
        <v>10.29</v>
      </c>
      <c r="L35" s="27"/>
      <c r="M35" s="27">
        <v>0.35</v>
      </c>
      <c r="N35" s="27">
        <v>0.4</v>
      </c>
      <c r="O35" s="27"/>
      <c r="P35" s="31" t="s">
        <v>46</v>
      </c>
      <c r="Q35" s="23" t="str">
        <f t="shared" si="20"/>
        <v>不同部位</v>
      </c>
      <c r="R35" s="23" t="str">
        <f>VLOOKUP(P35,表单1_清洗!$A$2:$E$59,3,FALSE)</f>
        <v>铅钡</v>
      </c>
      <c r="S35" s="23" t="str">
        <f>VLOOKUP(P35,表单1_清洗!$A$2:$E$59,5,FALSE)</f>
        <v>无风化</v>
      </c>
      <c r="T35" s="23" t="str">
        <f t="shared" si="21"/>
        <v>无风化</v>
      </c>
      <c r="U35" s="29">
        <f t="shared" si="22"/>
        <v>97.949999999999989</v>
      </c>
      <c r="V35" s="23" t="str">
        <f t="shared" si="23"/>
        <v>有效</v>
      </c>
      <c r="W35" s="23">
        <f t="shared" si="24"/>
        <v>4</v>
      </c>
      <c r="X35" s="30">
        <f t="shared" si="25"/>
        <v>35.058703420112309</v>
      </c>
      <c r="Y35" s="30">
        <f t="shared" si="26"/>
        <v>0</v>
      </c>
      <c r="Z35" s="30">
        <f t="shared" si="27"/>
        <v>1.439509954058193</v>
      </c>
      <c r="AA35" s="30">
        <f t="shared" si="28"/>
        <v>4.5839714139867285</v>
      </c>
      <c r="AB35" s="30">
        <f t="shared" si="29"/>
        <v>1.0005104645227156</v>
      </c>
      <c r="AC35" s="30">
        <f t="shared" si="30"/>
        <v>4.4410413476263404</v>
      </c>
      <c r="AD35" s="30">
        <f t="shared" si="31"/>
        <v>2.1643695763144466</v>
      </c>
      <c r="AE35" s="30">
        <f t="shared" si="32"/>
        <v>0</v>
      </c>
      <c r="AF35" s="30">
        <f t="shared" si="33"/>
        <v>40.040837161817258</v>
      </c>
      <c r="AG35" s="30">
        <f t="shared" si="34"/>
        <v>10.505359877488516</v>
      </c>
      <c r="AH35" s="30">
        <f t="shared" si="35"/>
        <v>0</v>
      </c>
      <c r="AI35" s="30">
        <f t="shared" si="36"/>
        <v>0.35732516590096991</v>
      </c>
      <c r="AJ35" s="30">
        <f t="shared" si="37"/>
        <v>0.40837161817253709</v>
      </c>
      <c r="AK35" s="30">
        <f t="shared" si="38"/>
        <v>0</v>
      </c>
      <c r="AL35" s="30">
        <f t="shared" si="39"/>
        <v>100.00000000000003</v>
      </c>
    </row>
    <row r="36" spans="1:38">
      <c r="A36" s="26" t="s">
        <v>104</v>
      </c>
      <c r="B36" s="27">
        <v>36.93</v>
      </c>
      <c r="C36" s="27"/>
      <c r="D36" s="27"/>
      <c r="E36" s="27">
        <v>4.24</v>
      </c>
      <c r="F36" s="27">
        <v>0.51</v>
      </c>
      <c r="G36" s="27">
        <v>3.86</v>
      </c>
      <c r="H36" s="27">
        <v>2.74</v>
      </c>
      <c r="I36" s="27"/>
      <c r="J36" s="27">
        <v>37.74</v>
      </c>
      <c r="K36" s="27">
        <v>10.35</v>
      </c>
      <c r="L36" s="27">
        <v>1.41</v>
      </c>
      <c r="M36" s="27">
        <v>0.48</v>
      </c>
      <c r="N36" s="27">
        <v>0.44</v>
      </c>
      <c r="O36" s="27"/>
      <c r="P36" s="31" t="s">
        <v>46</v>
      </c>
      <c r="Q36" s="23" t="str">
        <f t="shared" si="20"/>
        <v>不同部位</v>
      </c>
      <c r="R36" s="23" t="str">
        <f>VLOOKUP(P36,表单1_清洗!$A$2:$E$59,3,FALSE)</f>
        <v>铅钡</v>
      </c>
      <c r="S36" s="23" t="str">
        <f>VLOOKUP(P36,表单1_清洗!$A$2:$E$59,5,FALSE)</f>
        <v>无风化</v>
      </c>
      <c r="T36" s="23" t="str">
        <f t="shared" si="21"/>
        <v>无风化</v>
      </c>
      <c r="U36" s="29">
        <f t="shared" si="22"/>
        <v>98.7</v>
      </c>
      <c r="V36" s="23" t="str">
        <f t="shared" si="23"/>
        <v>有效</v>
      </c>
      <c r="W36" s="23">
        <f t="shared" si="24"/>
        <v>4</v>
      </c>
      <c r="X36" s="30">
        <f t="shared" si="25"/>
        <v>37.416413373860181</v>
      </c>
      <c r="Y36" s="30">
        <f t="shared" si="26"/>
        <v>0</v>
      </c>
      <c r="Z36" s="30">
        <f t="shared" si="27"/>
        <v>0</v>
      </c>
      <c r="AA36" s="30">
        <f t="shared" si="28"/>
        <v>4.2958459979736574</v>
      </c>
      <c r="AB36" s="30">
        <f t="shared" si="29"/>
        <v>0.51671732522796354</v>
      </c>
      <c r="AC36" s="30">
        <f t="shared" si="30"/>
        <v>3.9108409321175279</v>
      </c>
      <c r="AD36" s="30">
        <f t="shared" si="31"/>
        <v>2.7760891590678827</v>
      </c>
      <c r="AE36" s="30">
        <f t="shared" si="32"/>
        <v>0</v>
      </c>
      <c r="AF36" s="30">
        <f t="shared" si="33"/>
        <v>38.237082066869306</v>
      </c>
      <c r="AG36" s="30">
        <f t="shared" si="34"/>
        <v>10.486322188449847</v>
      </c>
      <c r="AH36" s="30">
        <f t="shared" si="35"/>
        <v>1.4285714285714286</v>
      </c>
      <c r="AI36" s="30">
        <f t="shared" si="36"/>
        <v>0.48632218844984798</v>
      </c>
      <c r="AJ36" s="30">
        <f t="shared" si="37"/>
        <v>0.44579533941236066</v>
      </c>
      <c r="AK36" s="30">
        <f t="shared" si="38"/>
        <v>0</v>
      </c>
      <c r="AL36" s="30">
        <f t="shared" si="39"/>
        <v>100</v>
      </c>
    </row>
    <row r="37" spans="1:38">
      <c r="A37" s="26" t="s">
        <v>47</v>
      </c>
      <c r="B37" s="27">
        <v>65.91</v>
      </c>
      <c r="C37" s="27"/>
      <c r="D37" s="27"/>
      <c r="E37" s="27">
        <v>1.6</v>
      </c>
      <c r="F37" s="27">
        <v>0.89</v>
      </c>
      <c r="G37" s="27">
        <v>3.11</v>
      </c>
      <c r="H37" s="27">
        <v>4.59</v>
      </c>
      <c r="I37" s="27">
        <v>0.44</v>
      </c>
      <c r="J37" s="27">
        <v>16.55</v>
      </c>
      <c r="K37" s="27">
        <v>3.42</v>
      </c>
      <c r="L37" s="27">
        <v>1.62</v>
      </c>
      <c r="M37" s="27">
        <v>0.3</v>
      </c>
      <c r="N37" s="27"/>
      <c r="O37" s="27"/>
      <c r="P37" s="31" t="s">
        <v>47</v>
      </c>
      <c r="Q37" s="23" t="str">
        <f t="shared" si="20"/>
        <v>普通采样点</v>
      </c>
      <c r="R37" s="23" t="str">
        <f>VLOOKUP(P37,表单1_清洗!$A$2:$E$59,3,FALSE)</f>
        <v>铅钡</v>
      </c>
      <c r="S37" s="23" t="str">
        <f>VLOOKUP(P37,表单1_清洗!$A$2:$E$59,5,FALSE)</f>
        <v>无风化</v>
      </c>
      <c r="T37" s="23" t="str">
        <f t="shared" si="21"/>
        <v>无风化</v>
      </c>
      <c r="U37" s="29">
        <f t="shared" si="22"/>
        <v>98.429999999999993</v>
      </c>
      <c r="V37" s="23" t="str">
        <f t="shared" si="23"/>
        <v>有效</v>
      </c>
      <c r="W37" s="23">
        <f t="shared" si="24"/>
        <v>4</v>
      </c>
      <c r="X37" s="30">
        <f t="shared" si="25"/>
        <v>66.961292288936306</v>
      </c>
      <c r="Y37" s="30">
        <f t="shared" si="26"/>
        <v>0</v>
      </c>
      <c r="Z37" s="30">
        <f t="shared" si="27"/>
        <v>0</v>
      </c>
      <c r="AA37" s="30">
        <f t="shared" si="28"/>
        <v>1.6255206745910804</v>
      </c>
      <c r="AB37" s="30">
        <f t="shared" si="29"/>
        <v>0.9041958752412883</v>
      </c>
      <c r="AC37" s="30">
        <f t="shared" si="30"/>
        <v>3.1596058112364114</v>
      </c>
      <c r="AD37" s="30">
        <f t="shared" si="31"/>
        <v>4.6632124352331603</v>
      </c>
      <c r="AE37" s="30">
        <f t="shared" si="32"/>
        <v>0.44701818551254707</v>
      </c>
      <c r="AF37" s="30">
        <f t="shared" si="33"/>
        <v>16.813979477801485</v>
      </c>
      <c r="AG37" s="30">
        <f t="shared" si="34"/>
        <v>3.4745504419384337</v>
      </c>
      <c r="AH37" s="30">
        <f t="shared" si="35"/>
        <v>1.6458396830234687</v>
      </c>
      <c r="AI37" s="30">
        <f t="shared" si="36"/>
        <v>0.30478512648582751</v>
      </c>
      <c r="AJ37" s="30">
        <f t="shared" si="37"/>
        <v>0</v>
      </c>
      <c r="AK37" s="30">
        <f t="shared" si="38"/>
        <v>0</v>
      </c>
      <c r="AL37" s="30">
        <f t="shared" si="39"/>
        <v>100.00000000000001</v>
      </c>
    </row>
    <row r="38" spans="1:38">
      <c r="A38" s="26" t="s">
        <v>48</v>
      </c>
      <c r="B38" s="27">
        <v>69.709999999999994</v>
      </c>
      <c r="C38" s="27"/>
      <c r="D38" s="27">
        <v>0.21</v>
      </c>
      <c r="E38" s="27">
        <v>0.46</v>
      </c>
      <c r="F38" s="27"/>
      <c r="G38" s="27">
        <v>2.36</v>
      </c>
      <c r="H38" s="27">
        <v>1</v>
      </c>
      <c r="I38" s="27">
        <v>0.11</v>
      </c>
      <c r="J38" s="27">
        <v>19.760000000000002</v>
      </c>
      <c r="K38" s="27">
        <v>4.88</v>
      </c>
      <c r="L38" s="27">
        <v>0.17</v>
      </c>
      <c r="M38" s="27"/>
      <c r="N38" s="27"/>
      <c r="O38" s="27"/>
      <c r="P38" s="31" t="s">
        <v>48</v>
      </c>
      <c r="Q38" s="23" t="str">
        <f t="shared" si="20"/>
        <v>普通采样点</v>
      </c>
      <c r="R38" s="23" t="str">
        <f>VLOOKUP(P38,表单1_清洗!$A$2:$E$59,3,FALSE)</f>
        <v>铅钡</v>
      </c>
      <c r="S38" s="23" t="str">
        <f>VLOOKUP(P38,表单1_清洗!$A$2:$E$59,5,FALSE)</f>
        <v>无风化</v>
      </c>
      <c r="T38" s="23" t="str">
        <f t="shared" si="21"/>
        <v>无风化</v>
      </c>
      <c r="U38" s="29">
        <f t="shared" si="22"/>
        <v>98.659999999999982</v>
      </c>
      <c r="V38" s="23" t="str">
        <f t="shared" si="23"/>
        <v>有效</v>
      </c>
      <c r="W38" s="23">
        <f t="shared" si="24"/>
        <v>5</v>
      </c>
      <c r="X38" s="30">
        <f t="shared" si="25"/>
        <v>70.65680113521185</v>
      </c>
      <c r="Y38" s="30">
        <f t="shared" si="26"/>
        <v>0</v>
      </c>
      <c r="Z38" s="30">
        <f t="shared" si="27"/>
        <v>0.21285221974457735</v>
      </c>
      <c r="AA38" s="30">
        <f t="shared" si="28"/>
        <v>0.46624771944050286</v>
      </c>
      <c r="AB38" s="30">
        <f t="shared" si="29"/>
        <v>0</v>
      </c>
      <c r="AC38" s="30">
        <f t="shared" si="30"/>
        <v>2.3920535171295358</v>
      </c>
      <c r="AD38" s="30">
        <f t="shared" si="31"/>
        <v>1.0135819987837018</v>
      </c>
      <c r="AE38" s="30">
        <f t="shared" si="32"/>
        <v>0.1114940198662072</v>
      </c>
      <c r="AF38" s="30">
        <f t="shared" si="33"/>
        <v>20.028380295965949</v>
      </c>
      <c r="AG38" s="30">
        <f t="shared" si="34"/>
        <v>4.946280154064465</v>
      </c>
      <c r="AH38" s="30">
        <f t="shared" si="35"/>
        <v>0.17230893979322931</v>
      </c>
      <c r="AI38" s="30">
        <f t="shared" si="36"/>
        <v>0</v>
      </c>
      <c r="AJ38" s="30">
        <f t="shared" si="37"/>
        <v>0</v>
      </c>
      <c r="AK38" s="30">
        <f t="shared" si="38"/>
        <v>0</v>
      </c>
      <c r="AL38" s="30">
        <f t="shared" si="39"/>
        <v>100.00000000000003</v>
      </c>
    </row>
    <row r="39" spans="1:38">
      <c r="A39" s="26" t="s">
        <v>50</v>
      </c>
      <c r="B39" s="27">
        <v>75.510000000000005</v>
      </c>
      <c r="C39" s="27"/>
      <c r="D39" s="27">
        <v>0.15</v>
      </c>
      <c r="E39" s="27">
        <v>0.64</v>
      </c>
      <c r="F39" s="27">
        <v>1</v>
      </c>
      <c r="G39" s="27">
        <v>2.35</v>
      </c>
      <c r="H39" s="27"/>
      <c r="I39" s="27">
        <v>0.47</v>
      </c>
      <c r="J39" s="27">
        <v>16.16</v>
      </c>
      <c r="K39" s="27">
        <v>3.55</v>
      </c>
      <c r="L39" s="27">
        <v>0.13</v>
      </c>
      <c r="M39" s="27"/>
      <c r="N39" s="27"/>
      <c r="O39" s="27"/>
      <c r="P39" s="31" t="s">
        <v>50</v>
      </c>
      <c r="Q39" s="23" t="str">
        <f t="shared" si="20"/>
        <v>普通采样点</v>
      </c>
      <c r="R39" s="23" t="str">
        <f>VLOOKUP(P39,表单1_清洗!$A$2:$E$59,3,FALSE)</f>
        <v>铅钡</v>
      </c>
      <c r="S39" s="23" t="str">
        <f>VLOOKUP(P39,表单1_清洗!$A$2:$E$59,5,FALSE)</f>
        <v>无风化</v>
      </c>
      <c r="T39" s="23" t="str">
        <f t="shared" si="21"/>
        <v>无风化</v>
      </c>
      <c r="U39" s="29">
        <f t="shared" si="22"/>
        <v>99.96</v>
      </c>
      <c r="V39" s="23" t="str">
        <f t="shared" si="23"/>
        <v>有效</v>
      </c>
      <c r="W39" s="23">
        <f t="shared" si="24"/>
        <v>5</v>
      </c>
      <c r="X39" s="30">
        <f t="shared" si="25"/>
        <v>75.540216086434583</v>
      </c>
      <c r="Y39" s="30">
        <f t="shared" si="26"/>
        <v>0</v>
      </c>
      <c r="Z39" s="30">
        <f t="shared" si="27"/>
        <v>0.15006002400960386</v>
      </c>
      <c r="AA39" s="30">
        <f t="shared" si="28"/>
        <v>0.64025610244097642</v>
      </c>
      <c r="AB39" s="30">
        <f t="shared" si="29"/>
        <v>1.0004001600640255</v>
      </c>
      <c r="AC39" s="30">
        <f t="shared" si="30"/>
        <v>2.3509403761504606</v>
      </c>
      <c r="AD39" s="30">
        <f t="shared" si="31"/>
        <v>0</v>
      </c>
      <c r="AE39" s="30">
        <f t="shared" si="32"/>
        <v>0.47018807523009204</v>
      </c>
      <c r="AF39" s="30">
        <f t="shared" si="33"/>
        <v>16.166466586634655</v>
      </c>
      <c r="AG39" s="30">
        <f t="shared" si="34"/>
        <v>3.5514205682272912</v>
      </c>
      <c r="AH39" s="30">
        <f t="shared" si="35"/>
        <v>0.13005202080832334</v>
      </c>
      <c r="AI39" s="30">
        <f t="shared" si="36"/>
        <v>0</v>
      </c>
      <c r="AJ39" s="30">
        <f t="shared" si="37"/>
        <v>0</v>
      </c>
      <c r="AK39" s="30">
        <f t="shared" si="38"/>
        <v>0</v>
      </c>
      <c r="AL39" s="30">
        <f t="shared" si="39"/>
        <v>100.00000000000001</v>
      </c>
    </row>
    <row r="40" spans="1:38">
      <c r="A40" s="26" t="s">
        <v>51</v>
      </c>
      <c r="B40" s="27">
        <v>35.78</v>
      </c>
      <c r="C40" s="27"/>
      <c r="D40" s="27">
        <v>0.25</v>
      </c>
      <c r="E40" s="27">
        <v>0.78</v>
      </c>
      <c r="F40" s="27"/>
      <c r="G40" s="27">
        <v>1.62</v>
      </c>
      <c r="H40" s="27">
        <v>0.47</v>
      </c>
      <c r="I40" s="27">
        <v>1.51</v>
      </c>
      <c r="J40" s="27">
        <v>46.55</v>
      </c>
      <c r="K40" s="27">
        <v>10</v>
      </c>
      <c r="L40" s="27">
        <v>0.34</v>
      </c>
      <c r="M40" s="27">
        <v>0.22</v>
      </c>
      <c r="N40" s="27"/>
      <c r="O40" s="27"/>
      <c r="P40" s="31" t="s">
        <v>51</v>
      </c>
      <c r="Q40" s="23" t="str">
        <f t="shared" si="20"/>
        <v>普通采样点</v>
      </c>
      <c r="R40" s="23" t="str">
        <f>VLOOKUP(P40,表单1_清洗!$A$2:$E$59,3,FALSE)</f>
        <v>铅钡</v>
      </c>
      <c r="S40" s="23" t="str">
        <f>VLOOKUP(P40,表单1_清洗!$A$2:$E$59,5,FALSE)</f>
        <v>风化</v>
      </c>
      <c r="T40" s="23" t="str">
        <f t="shared" si="21"/>
        <v>风化</v>
      </c>
      <c r="U40" s="29">
        <f t="shared" si="22"/>
        <v>97.52</v>
      </c>
      <c r="V40" s="23" t="str">
        <f t="shared" si="23"/>
        <v>有效</v>
      </c>
      <c r="W40" s="23">
        <f t="shared" si="24"/>
        <v>4</v>
      </c>
      <c r="X40" s="30">
        <f t="shared" si="25"/>
        <v>36.689909762100086</v>
      </c>
      <c r="Y40" s="30">
        <f t="shared" si="26"/>
        <v>0</v>
      </c>
      <c r="Z40" s="30">
        <f t="shared" si="27"/>
        <v>0.25635767022149303</v>
      </c>
      <c r="AA40" s="30">
        <f t="shared" si="28"/>
        <v>0.79983593109105833</v>
      </c>
      <c r="AB40" s="30">
        <f t="shared" si="29"/>
        <v>0</v>
      </c>
      <c r="AC40" s="30">
        <f t="shared" si="30"/>
        <v>1.6611977030352751</v>
      </c>
      <c r="AD40" s="30">
        <f t="shared" si="31"/>
        <v>0.48195242001640687</v>
      </c>
      <c r="AE40" s="30">
        <f t="shared" si="32"/>
        <v>1.5484003281378178</v>
      </c>
      <c r="AF40" s="30">
        <f t="shared" si="33"/>
        <v>47.733798195242002</v>
      </c>
      <c r="AG40" s="30">
        <f t="shared" si="34"/>
        <v>10.254306808859722</v>
      </c>
      <c r="AH40" s="30">
        <f t="shared" si="35"/>
        <v>0.34864643150123054</v>
      </c>
      <c r="AI40" s="30">
        <f t="shared" si="36"/>
        <v>0.2255947497949139</v>
      </c>
      <c r="AJ40" s="30">
        <f t="shared" si="37"/>
        <v>0</v>
      </c>
      <c r="AK40" s="30">
        <f t="shared" si="38"/>
        <v>0</v>
      </c>
      <c r="AL40" s="30">
        <f t="shared" si="39"/>
        <v>100</v>
      </c>
    </row>
    <row r="41" spans="1:38">
      <c r="A41" s="26" t="s">
        <v>52</v>
      </c>
      <c r="B41" s="27">
        <v>65.91</v>
      </c>
      <c r="C41" s="27"/>
      <c r="D41" s="27"/>
      <c r="E41" s="27">
        <v>0.38</v>
      </c>
      <c r="F41" s="27"/>
      <c r="G41" s="27">
        <v>1.44</v>
      </c>
      <c r="H41" s="27">
        <v>0.17</v>
      </c>
      <c r="I41" s="27">
        <v>0.16</v>
      </c>
      <c r="J41" s="27">
        <v>22.05</v>
      </c>
      <c r="K41" s="27">
        <v>5.68</v>
      </c>
      <c r="L41" s="27">
        <v>0.42</v>
      </c>
      <c r="M41" s="27"/>
      <c r="N41" s="27"/>
      <c r="O41" s="27"/>
      <c r="P41" s="31" t="s">
        <v>52</v>
      </c>
      <c r="Q41" s="23" t="str">
        <f t="shared" si="20"/>
        <v>普通采样点</v>
      </c>
      <c r="R41" s="23" t="str">
        <f>VLOOKUP(P41,表单1_清洗!$A$2:$E$59,3,FALSE)</f>
        <v>铅钡</v>
      </c>
      <c r="S41" s="23" t="str">
        <f>VLOOKUP(P41,表单1_清洗!$A$2:$E$59,5,FALSE)</f>
        <v>无风化</v>
      </c>
      <c r="T41" s="23" t="str">
        <f t="shared" si="21"/>
        <v>无风化</v>
      </c>
      <c r="U41" s="29">
        <f t="shared" si="22"/>
        <v>96.21</v>
      </c>
      <c r="V41" s="23" t="str">
        <f t="shared" si="23"/>
        <v>有效</v>
      </c>
      <c r="W41" s="23">
        <f t="shared" si="24"/>
        <v>6</v>
      </c>
      <c r="X41" s="30">
        <f t="shared" si="25"/>
        <v>68.506392266916123</v>
      </c>
      <c r="Y41" s="30">
        <f t="shared" si="26"/>
        <v>0</v>
      </c>
      <c r="Z41" s="30">
        <f t="shared" si="27"/>
        <v>0</v>
      </c>
      <c r="AA41" s="30">
        <f t="shared" si="28"/>
        <v>0.3949693379066625</v>
      </c>
      <c r="AB41" s="30">
        <f t="shared" si="29"/>
        <v>0</v>
      </c>
      <c r="AC41" s="30">
        <f t="shared" si="30"/>
        <v>1.4967259120673526</v>
      </c>
      <c r="AD41" s="30">
        <f t="shared" si="31"/>
        <v>0.17669680906350693</v>
      </c>
      <c r="AE41" s="30">
        <f t="shared" si="32"/>
        <v>0.16630287911859476</v>
      </c>
      <c r="AF41" s="30">
        <f t="shared" si="33"/>
        <v>22.91861552853134</v>
      </c>
      <c r="AG41" s="30">
        <f t="shared" si="34"/>
        <v>5.9037522087101131</v>
      </c>
      <c r="AH41" s="30">
        <f t="shared" si="35"/>
        <v>0.43654505768631119</v>
      </c>
      <c r="AI41" s="30">
        <f t="shared" si="36"/>
        <v>0</v>
      </c>
      <c r="AJ41" s="30">
        <f t="shared" si="37"/>
        <v>0</v>
      </c>
      <c r="AK41" s="30">
        <f t="shared" si="38"/>
        <v>0</v>
      </c>
      <c r="AL41" s="30">
        <f t="shared" si="39"/>
        <v>99.999999999999986</v>
      </c>
    </row>
    <row r="42" spans="1:38">
      <c r="A42" s="26" t="s">
        <v>53</v>
      </c>
      <c r="B42" s="27">
        <v>39.57</v>
      </c>
      <c r="C42" s="27">
        <v>2.2200000000000002</v>
      </c>
      <c r="D42" s="27">
        <v>0.14000000000000001</v>
      </c>
      <c r="E42" s="27">
        <v>0.37</v>
      </c>
      <c r="F42" s="27"/>
      <c r="G42" s="27">
        <v>1.6</v>
      </c>
      <c r="H42" s="27">
        <v>0.32</v>
      </c>
      <c r="I42" s="27">
        <v>0.68</v>
      </c>
      <c r="J42" s="27">
        <v>41.61</v>
      </c>
      <c r="K42" s="27">
        <v>10.83</v>
      </c>
      <c r="L42" s="27">
        <v>7.0000000000000007E-2</v>
      </c>
      <c r="M42" s="27">
        <v>0.22</v>
      </c>
      <c r="N42" s="27"/>
      <c r="O42" s="27"/>
      <c r="P42" s="31" t="s">
        <v>53</v>
      </c>
      <c r="Q42" s="23" t="str">
        <f t="shared" si="20"/>
        <v>普通采样点</v>
      </c>
      <c r="R42" s="23" t="str">
        <f>VLOOKUP(P42,表单1_清洗!$A$2:$E$59,3,FALSE)</f>
        <v>铅钡</v>
      </c>
      <c r="S42" s="23" t="str">
        <f>VLOOKUP(P42,表单1_清洗!$A$2:$E$59,5,FALSE)</f>
        <v>风化</v>
      </c>
      <c r="T42" s="23" t="str">
        <f t="shared" si="21"/>
        <v>风化</v>
      </c>
      <c r="U42" s="29">
        <f t="shared" si="22"/>
        <v>97.629999999999981</v>
      </c>
      <c r="V42" s="23" t="str">
        <f t="shared" si="23"/>
        <v>有效</v>
      </c>
      <c r="W42" s="23">
        <f t="shared" si="24"/>
        <v>3</v>
      </c>
      <c r="X42" s="30">
        <f t="shared" si="25"/>
        <v>40.53057461845745</v>
      </c>
      <c r="Y42" s="30">
        <f t="shared" si="26"/>
        <v>2.2738912219604637</v>
      </c>
      <c r="Z42" s="30">
        <f t="shared" si="27"/>
        <v>0.14339854552903825</v>
      </c>
      <c r="AA42" s="30">
        <f t="shared" si="28"/>
        <v>0.37898187032674391</v>
      </c>
      <c r="AB42" s="30">
        <f t="shared" si="29"/>
        <v>0</v>
      </c>
      <c r="AC42" s="30">
        <f t="shared" si="30"/>
        <v>1.6388405203318654</v>
      </c>
      <c r="AD42" s="30">
        <f t="shared" si="31"/>
        <v>0.32776810406637313</v>
      </c>
      <c r="AE42" s="30">
        <f t="shared" si="32"/>
        <v>0.69650722114104291</v>
      </c>
      <c r="AF42" s="30">
        <f t="shared" si="33"/>
        <v>42.620096281880578</v>
      </c>
      <c r="AG42" s="30">
        <f t="shared" si="34"/>
        <v>11.092901771996315</v>
      </c>
      <c r="AH42" s="30">
        <f t="shared" si="35"/>
        <v>7.1699272764519123E-2</v>
      </c>
      <c r="AI42" s="30">
        <f t="shared" si="36"/>
        <v>0.22534057154563153</v>
      </c>
      <c r="AJ42" s="30">
        <f t="shared" si="37"/>
        <v>0</v>
      </c>
      <c r="AK42" s="30">
        <f t="shared" si="38"/>
        <v>0</v>
      </c>
      <c r="AL42" s="30">
        <f t="shared" si="39"/>
        <v>100.00000000000001</v>
      </c>
    </row>
    <row r="43" spans="1:38">
      <c r="A43" s="26" t="s">
        <v>54</v>
      </c>
      <c r="B43" s="27">
        <v>60.12</v>
      </c>
      <c r="C43" s="27"/>
      <c r="D43" s="27">
        <v>0.23</v>
      </c>
      <c r="E43" s="27">
        <v>0.89</v>
      </c>
      <c r="F43" s="27"/>
      <c r="G43" s="27">
        <v>2.72</v>
      </c>
      <c r="H43" s="27"/>
      <c r="I43" s="27">
        <v>3.01</v>
      </c>
      <c r="J43" s="27">
        <v>17.239999999999998</v>
      </c>
      <c r="K43" s="27">
        <v>10.34</v>
      </c>
      <c r="L43" s="27">
        <v>1.46</v>
      </c>
      <c r="M43" s="27">
        <v>0.31</v>
      </c>
      <c r="N43" s="27"/>
      <c r="O43" s="27">
        <v>3.66</v>
      </c>
      <c r="P43" s="31" t="s">
        <v>54</v>
      </c>
      <c r="Q43" s="23" t="str">
        <f t="shared" si="20"/>
        <v>普通采样点</v>
      </c>
      <c r="R43" s="23" t="str">
        <f>VLOOKUP(P43,表单1_清洗!$A$2:$E$59,3,FALSE)</f>
        <v>铅钡</v>
      </c>
      <c r="S43" s="23" t="str">
        <f>VLOOKUP(P43,表单1_清洗!$A$2:$E$59,5,FALSE)</f>
        <v>无风化</v>
      </c>
      <c r="T43" s="23" t="str">
        <f t="shared" si="21"/>
        <v>无风化</v>
      </c>
      <c r="U43" s="29">
        <f t="shared" si="22"/>
        <v>99.97999999999999</v>
      </c>
      <c r="V43" s="23" t="str">
        <f t="shared" si="23"/>
        <v>有效</v>
      </c>
      <c r="W43" s="23">
        <f t="shared" si="24"/>
        <v>4</v>
      </c>
      <c r="X43" s="30">
        <f t="shared" si="25"/>
        <v>60.13202640528106</v>
      </c>
      <c r="Y43" s="30">
        <f t="shared" si="26"/>
        <v>0</v>
      </c>
      <c r="Z43" s="30">
        <f t="shared" si="27"/>
        <v>0.2300460092018404</v>
      </c>
      <c r="AA43" s="30">
        <f t="shared" si="28"/>
        <v>0.89017803560712161</v>
      </c>
      <c r="AB43" s="30">
        <f t="shared" si="29"/>
        <v>0</v>
      </c>
      <c r="AC43" s="30">
        <f t="shared" si="30"/>
        <v>2.7205441088217648</v>
      </c>
      <c r="AD43" s="30">
        <f t="shared" si="31"/>
        <v>0</v>
      </c>
      <c r="AE43" s="30">
        <f t="shared" si="32"/>
        <v>3.0106021204240849</v>
      </c>
      <c r="AF43" s="30">
        <f t="shared" si="33"/>
        <v>17.243448689737946</v>
      </c>
      <c r="AG43" s="30">
        <f t="shared" si="34"/>
        <v>10.342068413682737</v>
      </c>
      <c r="AH43" s="30">
        <f t="shared" si="35"/>
        <v>1.4602920584116825</v>
      </c>
      <c r="AI43" s="30">
        <f t="shared" si="36"/>
        <v>0.31006201240248055</v>
      </c>
      <c r="AJ43" s="30">
        <f t="shared" si="37"/>
        <v>0</v>
      </c>
      <c r="AK43" s="30">
        <f t="shared" si="38"/>
        <v>3.6607321464292868</v>
      </c>
      <c r="AL43" s="30">
        <f t="shared" si="39"/>
        <v>100</v>
      </c>
    </row>
    <row r="44" spans="1:38">
      <c r="A44" s="26" t="s">
        <v>55</v>
      </c>
      <c r="B44" s="27">
        <v>32.93</v>
      </c>
      <c r="C44" s="27">
        <v>1.38</v>
      </c>
      <c r="D44" s="27"/>
      <c r="E44" s="27">
        <v>0.68</v>
      </c>
      <c r="F44" s="27"/>
      <c r="G44" s="27">
        <v>2.57</v>
      </c>
      <c r="H44" s="27">
        <v>0.28999999999999998</v>
      </c>
      <c r="I44" s="27">
        <v>0.73</v>
      </c>
      <c r="J44" s="27">
        <v>49.31</v>
      </c>
      <c r="K44" s="27">
        <v>9.7899999999999991</v>
      </c>
      <c r="L44" s="27">
        <v>0.48</v>
      </c>
      <c r="M44" s="27">
        <v>0.41</v>
      </c>
      <c r="N44" s="27"/>
      <c r="O44" s="27"/>
      <c r="P44" s="31" t="s">
        <v>55</v>
      </c>
      <c r="Q44" s="23" t="str">
        <f t="shared" si="20"/>
        <v>普通采样点</v>
      </c>
      <c r="R44" s="23" t="str">
        <f>VLOOKUP(P44,表单1_清洗!$A$2:$E$59,3,FALSE)</f>
        <v>铅钡</v>
      </c>
      <c r="S44" s="23" t="str">
        <f>VLOOKUP(P44,表单1_清洗!$A$2:$E$59,5,FALSE)</f>
        <v>风化</v>
      </c>
      <c r="T44" s="23" t="str">
        <f t="shared" si="21"/>
        <v>风化</v>
      </c>
      <c r="U44" s="29">
        <f t="shared" si="22"/>
        <v>98.570000000000007</v>
      </c>
      <c r="V44" s="23" t="str">
        <f t="shared" si="23"/>
        <v>有效</v>
      </c>
      <c r="W44" s="23">
        <f t="shared" si="24"/>
        <v>4</v>
      </c>
      <c r="X44" s="30">
        <f t="shared" si="25"/>
        <v>33.407730546819515</v>
      </c>
      <c r="Y44" s="30">
        <f t="shared" si="26"/>
        <v>1.4000202901491323</v>
      </c>
      <c r="Z44" s="30">
        <f t="shared" si="27"/>
        <v>0</v>
      </c>
      <c r="AA44" s="30">
        <f t="shared" si="28"/>
        <v>0.68986507050826829</v>
      </c>
      <c r="AB44" s="30">
        <f t="shared" si="29"/>
        <v>0</v>
      </c>
      <c r="AC44" s="30">
        <f t="shared" si="30"/>
        <v>2.6072841635386017</v>
      </c>
      <c r="AD44" s="30">
        <f t="shared" si="31"/>
        <v>0.29420716242264378</v>
      </c>
      <c r="AE44" s="30">
        <f t="shared" si="32"/>
        <v>0.74059044333975843</v>
      </c>
      <c r="AF44" s="30">
        <f t="shared" si="33"/>
        <v>50.02536268641574</v>
      </c>
      <c r="AG44" s="30">
        <f t="shared" si="34"/>
        <v>9.9320280004058006</v>
      </c>
      <c r="AH44" s="30">
        <f t="shared" si="35"/>
        <v>0.48696357918230693</v>
      </c>
      <c r="AI44" s="30">
        <f t="shared" si="36"/>
        <v>0.41594805721822053</v>
      </c>
      <c r="AJ44" s="30">
        <f t="shared" si="37"/>
        <v>0</v>
      </c>
      <c r="AK44" s="30">
        <f t="shared" si="38"/>
        <v>0</v>
      </c>
      <c r="AL44" s="30">
        <f t="shared" si="39"/>
        <v>99.999999999999972</v>
      </c>
    </row>
    <row r="45" spans="1:38">
      <c r="A45" s="26" t="s">
        <v>56</v>
      </c>
      <c r="B45" s="27">
        <v>26.25</v>
      </c>
      <c r="C45" s="27"/>
      <c r="D45" s="27"/>
      <c r="E45" s="27">
        <v>1.1100000000000001</v>
      </c>
      <c r="F45" s="27"/>
      <c r="G45" s="27">
        <v>0.5</v>
      </c>
      <c r="H45" s="27"/>
      <c r="I45" s="27">
        <v>0.88</v>
      </c>
      <c r="J45" s="27">
        <v>61.03</v>
      </c>
      <c r="K45" s="27">
        <v>7.22</v>
      </c>
      <c r="L45" s="27">
        <v>1.1599999999999999</v>
      </c>
      <c r="M45" s="27">
        <v>0.61</v>
      </c>
      <c r="N45" s="27"/>
      <c r="O45" s="27"/>
      <c r="P45" s="31" t="s">
        <v>56</v>
      </c>
      <c r="Q45" s="23" t="str">
        <f t="shared" si="20"/>
        <v>普通采样点</v>
      </c>
      <c r="R45" s="23" t="str">
        <f>VLOOKUP(P45,表单1_清洗!$A$2:$E$59,3,FALSE)</f>
        <v>铅钡</v>
      </c>
      <c r="S45" s="23" t="str">
        <f>VLOOKUP(P45,表单1_清洗!$A$2:$E$59,5,FALSE)</f>
        <v>风化</v>
      </c>
      <c r="T45" s="23" t="str">
        <f t="shared" si="21"/>
        <v>风化</v>
      </c>
      <c r="U45" s="29">
        <f t="shared" si="22"/>
        <v>98.759999999999991</v>
      </c>
      <c r="V45" s="23" t="str">
        <f t="shared" si="23"/>
        <v>有效</v>
      </c>
      <c r="W45" s="23">
        <f t="shared" si="24"/>
        <v>6</v>
      </c>
      <c r="X45" s="30">
        <f t="shared" si="25"/>
        <v>26.579586877278256</v>
      </c>
      <c r="Y45" s="30">
        <f t="shared" si="26"/>
        <v>0</v>
      </c>
      <c r="Z45" s="30">
        <f t="shared" si="27"/>
        <v>0</v>
      </c>
      <c r="AA45" s="30">
        <f t="shared" si="28"/>
        <v>1.1239368165249091</v>
      </c>
      <c r="AB45" s="30">
        <f t="shared" si="29"/>
        <v>0</v>
      </c>
      <c r="AC45" s="30">
        <f t="shared" si="30"/>
        <v>0.50627784528149045</v>
      </c>
      <c r="AD45" s="30">
        <f t="shared" si="31"/>
        <v>0</v>
      </c>
      <c r="AE45" s="30">
        <f t="shared" si="32"/>
        <v>0.89104900769542328</v>
      </c>
      <c r="AF45" s="30">
        <f t="shared" si="33"/>
        <v>61.796273795058731</v>
      </c>
      <c r="AG45" s="30">
        <f t="shared" si="34"/>
        <v>7.3106520858647235</v>
      </c>
      <c r="AH45" s="30">
        <f t="shared" si="35"/>
        <v>1.1745646010530579</v>
      </c>
      <c r="AI45" s="30">
        <f t="shared" si="36"/>
        <v>0.6176589712434184</v>
      </c>
      <c r="AJ45" s="30">
        <f t="shared" si="37"/>
        <v>0</v>
      </c>
      <c r="AK45" s="30">
        <f t="shared" si="38"/>
        <v>0</v>
      </c>
      <c r="AL45" s="30">
        <f t="shared" si="39"/>
        <v>100</v>
      </c>
    </row>
    <row r="46" spans="1:38">
      <c r="A46" s="26" t="s">
        <v>57</v>
      </c>
      <c r="B46" s="27">
        <v>16.71</v>
      </c>
      <c r="C46" s="27"/>
      <c r="D46" s="27"/>
      <c r="E46" s="27">
        <v>1.87</v>
      </c>
      <c r="F46" s="27"/>
      <c r="G46" s="27">
        <v>0.45</v>
      </c>
      <c r="H46" s="27">
        <v>0.19</v>
      </c>
      <c r="I46" s="27"/>
      <c r="J46" s="27">
        <v>70.209999999999994</v>
      </c>
      <c r="K46" s="27">
        <v>6.69</v>
      </c>
      <c r="L46" s="27">
        <v>1.77</v>
      </c>
      <c r="M46" s="27">
        <v>0.68</v>
      </c>
      <c r="N46" s="27"/>
      <c r="O46" s="27"/>
      <c r="P46" s="31" t="s">
        <v>57</v>
      </c>
      <c r="Q46" s="23" t="str">
        <f t="shared" si="20"/>
        <v>普通采样点</v>
      </c>
      <c r="R46" s="23" t="str">
        <f>VLOOKUP(P46,表单1_清洗!$A$2:$E$59,3,FALSE)</f>
        <v>铅钡</v>
      </c>
      <c r="S46" s="23" t="str">
        <f>VLOOKUP(P46,表单1_清洗!$A$2:$E$59,5,FALSE)</f>
        <v>风化</v>
      </c>
      <c r="T46" s="23" t="str">
        <f t="shared" si="21"/>
        <v>风化</v>
      </c>
      <c r="U46" s="29">
        <f t="shared" si="22"/>
        <v>98.57</v>
      </c>
      <c r="V46" s="23" t="str">
        <f t="shared" si="23"/>
        <v>有效</v>
      </c>
      <c r="W46" s="23">
        <f t="shared" si="24"/>
        <v>6</v>
      </c>
      <c r="X46" s="30">
        <f t="shared" si="25"/>
        <v>16.952419600284063</v>
      </c>
      <c r="Y46" s="30">
        <f t="shared" si="26"/>
        <v>0</v>
      </c>
      <c r="Z46" s="30">
        <f t="shared" si="27"/>
        <v>0</v>
      </c>
      <c r="AA46" s="30">
        <f t="shared" si="28"/>
        <v>1.8971289438977377</v>
      </c>
      <c r="AB46" s="30">
        <f t="shared" si="29"/>
        <v>0</v>
      </c>
      <c r="AC46" s="30">
        <f t="shared" si="30"/>
        <v>0.45652835548341281</v>
      </c>
      <c r="AD46" s="30">
        <f t="shared" si="31"/>
        <v>0.19275641675966321</v>
      </c>
      <c r="AE46" s="30">
        <f t="shared" si="32"/>
        <v>0</v>
      </c>
      <c r="AF46" s="30">
        <f t="shared" si="33"/>
        <v>71.228568529978702</v>
      </c>
      <c r="AG46" s="30">
        <f t="shared" si="34"/>
        <v>6.7870548848534051</v>
      </c>
      <c r="AH46" s="30">
        <f t="shared" si="35"/>
        <v>1.7956781982347574</v>
      </c>
      <c r="AI46" s="30">
        <f t="shared" si="36"/>
        <v>0.68986507050826829</v>
      </c>
      <c r="AJ46" s="30">
        <f t="shared" si="37"/>
        <v>0</v>
      </c>
      <c r="AK46" s="30">
        <f t="shared" si="38"/>
        <v>0</v>
      </c>
      <c r="AL46" s="30">
        <f t="shared" si="39"/>
        <v>100</v>
      </c>
    </row>
    <row r="47" spans="1:38">
      <c r="A47" s="26" t="s">
        <v>58</v>
      </c>
      <c r="B47" s="27">
        <v>18.46</v>
      </c>
      <c r="C47" s="27"/>
      <c r="D47" s="27">
        <v>0.44</v>
      </c>
      <c r="E47" s="27">
        <v>4.96</v>
      </c>
      <c r="F47" s="27">
        <v>2.73</v>
      </c>
      <c r="G47" s="27">
        <v>3.33</v>
      </c>
      <c r="H47" s="27">
        <v>1.79</v>
      </c>
      <c r="I47" s="27">
        <v>0.19</v>
      </c>
      <c r="J47" s="27">
        <v>44.12</v>
      </c>
      <c r="K47" s="27">
        <v>9.76</v>
      </c>
      <c r="L47" s="27">
        <v>7.46</v>
      </c>
      <c r="M47" s="27">
        <v>0.47</v>
      </c>
      <c r="N47" s="27"/>
      <c r="O47" s="27"/>
      <c r="P47" s="31" t="s">
        <v>58</v>
      </c>
      <c r="Q47" s="23" t="str">
        <f t="shared" si="20"/>
        <v>普通采样点</v>
      </c>
      <c r="R47" s="23" t="str">
        <f>VLOOKUP(P47,表单1_清洗!$A$2:$E$59,3,FALSE)</f>
        <v>铅钡</v>
      </c>
      <c r="S47" s="23" t="str">
        <f>VLOOKUP(P47,表单1_清洗!$A$2:$E$59,5,FALSE)</f>
        <v>风化</v>
      </c>
      <c r="T47" s="23" t="str">
        <f t="shared" si="21"/>
        <v>风化</v>
      </c>
      <c r="U47" s="29">
        <f t="shared" si="22"/>
        <v>93.71</v>
      </c>
      <c r="V47" s="23" t="str">
        <f t="shared" si="23"/>
        <v>有效</v>
      </c>
      <c r="W47" s="23">
        <f t="shared" si="24"/>
        <v>3</v>
      </c>
      <c r="X47" s="30">
        <f t="shared" si="25"/>
        <v>19.699071603884327</v>
      </c>
      <c r="Y47" s="30">
        <f t="shared" si="26"/>
        <v>0</v>
      </c>
      <c r="Z47" s="30">
        <f t="shared" si="27"/>
        <v>0.46953366769821792</v>
      </c>
      <c r="AA47" s="30">
        <f t="shared" si="28"/>
        <v>5.292924981325366</v>
      </c>
      <c r="AB47" s="30">
        <f t="shared" si="29"/>
        <v>2.913242983673034</v>
      </c>
      <c r="AC47" s="30">
        <f t="shared" si="30"/>
        <v>3.553516166897877</v>
      </c>
      <c r="AD47" s="30">
        <f t="shared" si="31"/>
        <v>1.910148329954114</v>
      </c>
      <c r="AE47" s="30">
        <f t="shared" si="32"/>
        <v>0.20275317468786683</v>
      </c>
      <c r="AF47" s="30">
        <f t="shared" si="33"/>
        <v>47.08142140646676</v>
      </c>
      <c r="AG47" s="30">
        <f t="shared" si="34"/>
        <v>10.415110447124107</v>
      </c>
      <c r="AH47" s="30">
        <f t="shared" si="35"/>
        <v>7.9607299114288761</v>
      </c>
      <c r="AI47" s="30">
        <f t="shared" si="36"/>
        <v>0.50154732685946002</v>
      </c>
      <c r="AJ47" s="30">
        <f t="shared" si="37"/>
        <v>0</v>
      </c>
      <c r="AK47" s="30">
        <f t="shared" si="38"/>
        <v>0</v>
      </c>
      <c r="AL47" s="30">
        <f t="shared" si="39"/>
        <v>100</v>
      </c>
    </row>
    <row r="48" spans="1:38">
      <c r="A48" s="26" t="s">
        <v>105</v>
      </c>
      <c r="B48" s="27">
        <v>51.26</v>
      </c>
      <c r="C48" s="27">
        <v>5.74</v>
      </c>
      <c r="D48" s="27">
        <v>0.15</v>
      </c>
      <c r="E48" s="27">
        <v>0.79</v>
      </c>
      <c r="F48" s="27">
        <v>1.0900000000000001</v>
      </c>
      <c r="G48" s="27">
        <v>3.53</v>
      </c>
      <c r="H48" s="27"/>
      <c r="I48" s="27">
        <v>2.67</v>
      </c>
      <c r="J48" s="27">
        <v>21.88</v>
      </c>
      <c r="K48" s="27">
        <v>10.47</v>
      </c>
      <c r="L48" s="27">
        <v>0.08</v>
      </c>
      <c r="M48" s="27">
        <v>0.35</v>
      </c>
      <c r="N48" s="27"/>
      <c r="O48" s="27"/>
      <c r="P48" s="31" t="s">
        <v>59</v>
      </c>
      <c r="Q48" s="23" t="str">
        <f t="shared" si="20"/>
        <v>未风化点</v>
      </c>
      <c r="R48" s="23" t="str">
        <f>VLOOKUP(P48,表单1_清洗!$A$2:$E$59,3,FALSE)</f>
        <v>铅钡</v>
      </c>
      <c r="S48" s="23" t="str">
        <f>VLOOKUP(P48,表单1_清洗!$A$2:$E$59,5,FALSE)</f>
        <v>风化</v>
      </c>
      <c r="T48" s="23" t="str">
        <f t="shared" si="21"/>
        <v>无风化</v>
      </c>
      <c r="U48" s="29">
        <f t="shared" si="22"/>
        <v>98.009999999999991</v>
      </c>
      <c r="V48" s="23" t="str">
        <f t="shared" si="23"/>
        <v>有效</v>
      </c>
      <c r="W48" s="23">
        <f t="shared" si="24"/>
        <v>3</v>
      </c>
      <c r="X48" s="30">
        <f t="shared" si="25"/>
        <v>52.300785634118974</v>
      </c>
      <c r="Y48" s="30">
        <f t="shared" si="26"/>
        <v>5.8565452504846451</v>
      </c>
      <c r="Z48" s="30">
        <f t="shared" si="27"/>
        <v>0.15304560759106214</v>
      </c>
      <c r="AA48" s="30">
        <f t="shared" si="28"/>
        <v>0.80604019997959409</v>
      </c>
      <c r="AB48" s="30">
        <f t="shared" si="29"/>
        <v>1.1121314151617185</v>
      </c>
      <c r="AC48" s="30">
        <f t="shared" si="30"/>
        <v>3.6016732986429956</v>
      </c>
      <c r="AD48" s="30">
        <f t="shared" si="31"/>
        <v>0</v>
      </c>
      <c r="AE48" s="30">
        <f t="shared" si="32"/>
        <v>2.7242118151209063</v>
      </c>
      <c r="AF48" s="30">
        <f t="shared" si="33"/>
        <v>22.324252627282931</v>
      </c>
      <c r="AG48" s="30">
        <f t="shared" si="34"/>
        <v>10.682583409856139</v>
      </c>
      <c r="AH48" s="30">
        <f t="shared" si="35"/>
        <v>8.1624324048566482E-2</v>
      </c>
      <c r="AI48" s="30">
        <f t="shared" si="36"/>
        <v>0.35710641771247831</v>
      </c>
      <c r="AJ48" s="30">
        <f t="shared" si="37"/>
        <v>0</v>
      </c>
      <c r="AK48" s="30">
        <f t="shared" si="38"/>
        <v>0</v>
      </c>
      <c r="AL48" s="30">
        <f t="shared" si="39"/>
        <v>99.999999999999986</v>
      </c>
    </row>
    <row r="49" spans="1:38">
      <c r="A49" s="26" t="s">
        <v>106</v>
      </c>
      <c r="B49" s="27">
        <v>51.33</v>
      </c>
      <c r="C49" s="27">
        <v>5.68</v>
      </c>
      <c r="D49" s="27">
        <v>0.35</v>
      </c>
      <c r="E49" s="27"/>
      <c r="F49" s="27">
        <v>1.1599999999999999</v>
      </c>
      <c r="G49" s="27">
        <v>5.66</v>
      </c>
      <c r="H49" s="27"/>
      <c r="I49" s="27">
        <v>2.72</v>
      </c>
      <c r="J49" s="27">
        <v>20.12</v>
      </c>
      <c r="K49" s="27">
        <v>10.88</v>
      </c>
      <c r="L49" s="27"/>
      <c r="M49" s="27"/>
      <c r="N49" s="27"/>
      <c r="O49" s="27"/>
      <c r="P49" s="31" t="s">
        <v>59</v>
      </c>
      <c r="Q49" s="23" t="str">
        <f t="shared" si="20"/>
        <v>未风化点</v>
      </c>
      <c r="R49" s="23" t="str">
        <f>VLOOKUP(P49,表单1_清洗!$A$2:$E$59,3,FALSE)</f>
        <v>铅钡</v>
      </c>
      <c r="S49" s="23" t="str">
        <f>VLOOKUP(P49,表单1_清洗!$A$2:$E$59,5,FALSE)</f>
        <v>风化</v>
      </c>
      <c r="T49" s="23" t="str">
        <f t="shared" si="21"/>
        <v>无风化</v>
      </c>
      <c r="U49" s="29">
        <f t="shared" si="22"/>
        <v>97.899999999999991</v>
      </c>
      <c r="V49" s="23" t="str">
        <f t="shared" si="23"/>
        <v>有效</v>
      </c>
      <c r="W49" s="23">
        <f t="shared" si="24"/>
        <v>6</v>
      </c>
      <c r="X49" s="30">
        <f t="shared" si="25"/>
        <v>52.431052093973442</v>
      </c>
      <c r="Y49" s="30">
        <f t="shared" si="26"/>
        <v>5.8018386108273745</v>
      </c>
      <c r="Z49" s="30">
        <f t="shared" si="27"/>
        <v>0.35750766087844743</v>
      </c>
      <c r="AA49" s="30">
        <f t="shared" si="28"/>
        <v>0</v>
      </c>
      <c r="AB49" s="30">
        <f t="shared" si="29"/>
        <v>1.18488253319714</v>
      </c>
      <c r="AC49" s="30">
        <f t="shared" si="30"/>
        <v>5.781409601634321</v>
      </c>
      <c r="AD49" s="30">
        <f t="shared" si="31"/>
        <v>0</v>
      </c>
      <c r="AE49" s="30">
        <f t="shared" si="32"/>
        <v>2.7783452502553629</v>
      </c>
      <c r="AF49" s="30">
        <f t="shared" si="33"/>
        <v>20.551583248212467</v>
      </c>
      <c r="AG49" s="30">
        <f t="shared" si="34"/>
        <v>11.113381001021452</v>
      </c>
      <c r="AH49" s="30">
        <f t="shared" si="35"/>
        <v>0</v>
      </c>
      <c r="AI49" s="30">
        <f t="shared" si="36"/>
        <v>0</v>
      </c>
      <c r="AJ49" s="30">
        <f t="shared" si="37"/>
        <v>0</v>
      </c>
      <c r="AK49" s="30">
        <f t="shared" si="38"/>
        <v>0</v>
      </c>
      <c r="AL49" s="30">
        <f t="shared" si="39"/>
        <v>100</v>
      </c>
    </row>
    <row r="50" spans="1:38">
      <c r="A50" s="26" t="s">
        <v>107</v>
      </c>
      <c r="B50" s="27">
        <v>12.41</v>
      </c>
      <c r="C50" s="27"/>
      <c r="D50" s="27"/>
      <c r="E50" s="27">
        <v>5.24</v>
      </c>
      <c r="F50" s="27">
        <v>0.89</v>
      </c>
      <c r="G50" s="27">
        <v>2.25</v>
      </c>
      <c r="H50" s="27">
        <v>0.76</v>
      </c>
      <c r="I50" s="27">
        <v>5.35</v>
      </c>
      <c r="J50" s="27">
        <v>59.85</v>
      </c>
      <c r="K50" s="27">
        <v>7.29</v>
      </c>
      <c r="L50" s="27"/>
      <c r="M50" s="27">
        <v>0.64</v>
      </c>
      <c r="N50" s="27"/>
      <c r="O50" s="27"/>
      <c r="P50" s="31" t="s">
        <v>60</v>
      </c>
      <c r="Q50" s="23" t="str">
        <f t="shared" si="20"/>
        <v>不同部位</v>
      </c>
      <c r="R50" s="23" t="str">
        <f>VLOOKUP(P50,表单1_清洗!$A$2:$E$59,3,FALSE)</f>
        <v>铅钡</v>
      </c>
      <c r="S50" s="23" t="str">
        <f>VLOOKUP(P50,表单1_清洗!$A$2:$E$59,5,FALSE)</f>
        <v>风化</v>
      </c>
      <c r="T50" s="23" t="str">
        <f t="shared" si="21"/>
        <v>风化</v>
      </c>
      <c r="U50" s="29">
        <f t="shared" si="22"/>
        <v>94.68</v>
      </c>
      <c r="V50" s="23" t="str">
        <f t="shared" si="23"/>
        <v>有效</v>
      </c>
      <c r="W50" s="23">
        <f t="shared" si="24"/>
        <v>5</v>
      </c>
      <c r="X50" s="30">
        <f t="shared" si="25"/>
        <v>13.107308829742289</v>
      </c>
      <c r="Y50" s="30">
        <f t="shared" si="26"/>
        <v>0</v>
      </c>
      <c r="Z50" s="30">
        <f t="shared" si="27"/>
        <v>0</v>
      </c>
      <c r="AA50" s="30">
        <f t="shared" si="28"/>
        <v>5.5344317701732146</v>
      </c>
      <c r="AB50" s="30">
        <f t="shared" si="29"/>
        <v>0.94000844951415274</v>
      </c>
      <c r="AC50" s="30">
        <f t="shared" si="30"/>
        <v>2.376425855513308</v>
      </c>
      <c r="AD50" s="30">
        <f t="shared" si="31"/>
        <v>0.80270384452893961</v>
      </c>
      <c r="AE50" s="30">
        <f t="shared" si="32"/>
        <v>5.6506125897760873</v>
      </c>
      <c r="AF50" s="30">
        <f t="shared" si="33"/>
        <v>63.21292775665399</v>
      </c>
      <c r="AG50" s="30">
        <f t="shared" si="34"/>
        <v>7.6996197718631167</v>
      </c>
      <c r="AH50" s="30">
        <f t="shared" si="35"/>
        <v>0</v>
      </c>
      <c r="AI50" s="30">
        <f t="shared" si="36"/>
        <v>0.67596113223489651</v>
      </c>
      <c r="AJ50" s="30">
        <f t="shared" si="37"/>
        <v>0</v>
      </c>
      <c r="AK50" s="30">
        <f t="shared" si="38"/>
        <v>0</v>
      </c>
      <c r="AL50" s="30">
        <f t="shared" si="39"/>
        <v>100</v>
      </c>
    </row>
    <row r="51" spans="1:38">
      <c r="A51" s="26" t="s">
        <v>108</v>
      </c>
      <c r="B51" s="27">
        <v>21.7</v>
      </c>
      <c r="C51" s="27"/>
      <c r="D51" s="27"/>
      <c r="E51" s="27">
        <v>6.4</v>
      </c>
      <c r="F51" s="27">
        <v>0.95</v>
      </c>
      <c r="G51" s="27">
        <v>3.41</v>
      </c>
      <c r="H51" s="27">
        <v>1.39</v>
      </c>
      <c r="I51" s="27">
        <v>1.51</v>
      </c>
      <c r="J51" s="27">
        <v>44.75</v>
      </c>
      <c r="K51" s="27">
        <v>3.26</v>
      </c>
      <c r="L51" s="27">
        <v>12.83</v>
      </c>
      <c r="M51" s="27">
        <v>0.47</v>
      </c>
      <c r="N51" s="27"/>
      <c r="O51" s="27"/>
      <c r="P51" s="31" t="s">
        <v>60</v>
      </c>
      <c r="Q51" s="23" t="str">
        <f t="shared" si="20"/>
        <v>不同部位</v>
      </c>
      <c r="R51" s="23" t="str">
        <f>VLOOKUP(P51,表单1_清洗!$A$2:$E$59,3,FALSE)</f>
        <v>铅钡</v>
      </c>
      <c r="S51" s="23" t="str">
        <f>VLOOKUP(P51,表单1_清洗!$A$2:$E$59,5,FALSE)</f>
        <v>风化</v>
      </c>
      <c r="T51" s="23" t="str">
        <f t="shared" si="21"/>
        <v>风化</v>
      </c>
      <c r="U51" s="29">
        <f t="shared" si="22"/>
        <v>96.67</v>
      </c>
      <c r="V51" s="23" t="str">
        <f t="shared" si="23"/>
        <v>有效</v>
      </c>
      <c r="W51" s="23">
        <f t="shared" si="24"/>
        <v>4</v>
      </c>
      <c r="X51" s="30">
        <f t="shared" si="25"/>
        <v>22.447501810282404</v>
      </c>
      <c r="Y51" s="30">
        <f t="shared" si="26"/>
        <v>0</v>
      </c>
      <c r="Z51" s="30">
        <f t="shared" si="27"/>
        <v>0</v>
      </c>
      <c r="AA51" s="30">
        <f t="shared" si="28"/>
        <v>6.6204613634012626</v>
      </c>
      <c r="AB51" s="30">
        <f t="shared" si="29"/>
        <v>0.98272473362987478</v>
      </c>
      <c r="AC51" s="30">
        <f t="shared" si="30"/>
        <v>3.5274645701872354</v>
      </c>
      <c r="AD51" s="30">
        <f t="shared" si="31"/>
        <v>1.4378814523637116</v>
      </c>
      <c r="AE51" s="30">
        <f t="shared" si="32"/>
        <v>1.5620151029274851</v>
      </c>
      <c r="AF51" s="30">
        <f t="shared" si="33"/>
        <v>46.291507189407263</v>
      </c>
      <c r="AG51" s="30">
        <f t="shared" si="34"/>
        <v>3.3722975069825174</v>
      </c>
      <c r="AH51" s="30">
        <f t="shared" si="35"/>
        <v>13.271956139443466</v>
      </c>
      <c r="AI51" s="30">
        <f t="shared" si="36"/>
        <v>0.48619013137478012</v>
      </c>
      <c r="AJ51" s="30">
        <f t="shared" si="37"/>
        <v>0</v>
      </c>
      <c r="AK51" s="30">
        <f t="shared" si="38"/>
        <v>0</v>
      </c>
      <c r="AL51" s="30">
        <f t="shared" si="39"/>
        <v>100</v>
      </c>
    </row>
    <row r="52" spans="1:38">
      <c r="A52" s="26" t="s">
        <v>109</v>
      </c>
      <c r="B52" s="27">
        <v>60.74</v>
      </c>
      <c r="C52" s="27">
        <v>3.06</v>
      </c>
      <c r="D52" s="27">
        <v>0.2</v>
      </c>
      <c r="E52" s="27">
        <v>2.14</v>
      </c>
      <c r="F52" s="27"/>
      <c r="G52" s="27">
        <v>12.69</v>
      </c>
      <c r="H52" s="27">
        <v>0.77</v>
      </c>
      <c r="I52" s="27">
        <v>0.43</v>
      </c>
      <c r="J52" s="27">
        <v>13.61</v>
      </c>
      <c r="K52" s="27">
        <v>5.22</v>
      </c>
      <c r="L52" s="27"/>
      <c r="M52" s="27">
        <v>0.26</v>
      </c>
      <c r="N52" s="27"/>
      <c r="O52" s="27"/>
      <c r="P52" s="31" t="s">
        <v>61</v>
      </c>
      <c r="Q52" s="23" t="str">
        <f t="shared" si="20"/>
        <v>未风化点</v>
      </c>
      <c r="R52" s="23" t="str">
        <f>VLOOKUP(P52,表单1_清洗!$A$2:$E$59,3,FALSE)</f>
        <v>铅钡</v>
      </c>
      <c r="S52" s="23" t="str">
        <f>VLOOKUP(P52,表单1_清洗!$A$2:$E$59,5,FALSE)</f>
        <v>风化</v>
      </c>
      <c r="T52" s="23" t="str">
        <f t="shared" si="21"/>
        <v>无风化</v>
      </c>
      <c r="U52" s="29">
        <f t="shared" si="22"/>
        <v>99.12</v>
      </c>
      <c r="V52" s="23" t="str">
        <f t="shared" si="23"/>
        <v>有效</v>
      </c>
      <c r="W52" s="23">
        <f t="shared" si="24"/>
        <v>4</v>
      </c>
      <c r="X52" s="30">
        <f t="shared" si="25"/>
        <v>61.279257465698144</v>
      </c>
      <c r="Y52" s="30">
        <f t="shared" si="26"/>
        <v>3.0871670702179177</v>
      </c>
      <c r="Z52" s="30">
        <f t="shared" si="27"/>
        <v>0.20177562550443903</v>
      </c>
      <c r="AA52" s="30">
        <f t="shared" si="28"/>
        <v>2.1589991928974981</v>
      </c>
      <c r="AB52" s="30">
        <f t="shared" si="29"/>
        <v>0</v>
      </c>
      <c r="AC52" s="30">
        <f t="shared" si="30"/>
        <v>12.802663438256657</v>
      </c>
      <c r="AD52" s="30">
        <f t="shared" si="31"/>
        <v>0.7768361581920904</v>
      </c>
      <c r="AE52" s="30">
        <f t="shared" si="32"/>
        <v>0.43381759483454391</v>
      </c>
      <c r="AF52" s="30">
        <f t="shared" si="33"/>
        <v>13.730831315577078</v>
      </c>
      <c r="AG52" s="30">
        <f t="shared" si="34"/>
        <v>5.2663438256658592</v>
      </c>
      <c r="AH52" s="30">
        <f t="shared" si="35"/>
        <v>0</v>
      </c>
      <c r="AI52" s="30">
        <f t="shared" si="36"/>
        <v>0.2623083131557708</v>
      </c>
      <c r="AJ52" s="30">
        <f t="shared" si="37"/>
        <v>0</v>
      </c>
      <c r="AK52" s="30">
        <f t="shared" si="38"/>
        <v>0</v>
      </c>
      <c r="AL52" s="30">
        <f t="shared" si="39"/>
        <v>100.00000000000001</v>
      </c>
    </row>
    <row r="53" spans="1:38">
      <c r="A53" s="26" t="s">
        <v>62</v>
      </c>
      <c r="B53" s="27">
        <v>61.28</v>
      </c>
      <c r="C53" s="27">
        <v>2.66</v>
      </c>
      <c r="D53" s="27">
        <v>0.11</v>
      </c>
      <c r="E53" s="27">
        <v>0.84</v>
      </c>
      <c r="F53" s="27">
        <v>0.74</v>
      </c>
      <c r="G53" s="27">
        <v>5</v>
      </c>
      <c r="H53" s="27"/>
      <c r="I53" s="27">
        <v>0.53</v>
      </c>
      <c r="J53" s="27">
        <v>15.99</v>
      </c>
      <c r="K53" s="27">
        <v>10.96</v>
      </c>
      <c r="L53" s="27"/>
      <c r="M53" s="27">
        <v>0.23</v>
      </c>
      <c r="N53" s="27"/>
      <c r="O53" s="27"/>
      <c r="P53" s="31" t="s">
        <v>62</v>
      </c>
      <c r="Q53" s="23" t="str">
        <f t="shared" si="20"/>
        <v>普通采样点</v>
      </c>
      <c r="R53" s="23" t="str">
        <f>VLOOKUP(P53,表单1_清洗!$A$2:$E$59,3,FALSE)</f>
        <v>铅钡</v>
      </c>
      <c r="S53" s="23" t="str">
        <f>VLOOKUP(P53,表单1_清洗!$A$2:$E$59,5,FALSE)</f>
        <v>无风化</v>
      </c>
      <c r="T53" s="23" t="str">
        <f t="shared" si="21"/>
        <v>无风化</v>
      </c>
      <c r="U53" s="29">
        <f t="shared" si="22"/>
        <v>98.339999999999989</v>
      </c>
      <c r="V53" s="23" t="str">
        <f t="shared" si="23"/>
        <v>有效</v>
      </c>
      <c r="W53" s="23">
        <f t="shared" si="24"/>
        <v>4</v>
      </c>
      <c r="X53" s="30">
        <f t="shared" si="25"/>
        <v>62.314419361399231</v>
      </c>
      <c r="Y53" s="30">
        <f t="shared" si="26"/>
        <v>2.7049013626194838</v>
      </c>
      <c r="Z53" s="30">
        <f t="shared" si="27"/>
        <v>0.11185682326621926</v>
      </c>
      <c r="AA53" s="30">
        <f t="shared" si="28"/>
        <v>0.85417937766931062</v>
      </c>
      <c r="AB53" s="30">
        <f t="shared" si="29"/>
        <v>0.7524913565182022</v>
      </c>
      <c r="AC53" s="30">
        <f t="shared" si="30"/>
        <v>5.0844010575554206</v>
      </c>
      <c r="AD53" s="30">
        <f t="shared" si="31"/>
        <v>0</v>
      </c>
      <c r="AE53" s="30">
        <f t="shared" si="32"/>
        <v>0.53894651210087463</v>
      </c>
      <c r="AF53" s="30">
        <f t="shared" si="33"/>
        <v>16.259914582062233</v>
      </c>
      <c r="AG53" s="30">
        <f t="shared" si="34"/>
        <v>11.145007118161484</v>
      </c>
      <c r="AH53" s="30">
        <f t="shared" si="35"/>
        <v>0</v>
      </c>
      <c r="AI53" s="30">
        <f t="shared" si="36"/>
        <v>0.23388244864754934</v>
      </c>
      <c r="AJ53" s="30">
        <f t="shared" si="37"/>
        <v>0</v>
      </c>
      <c r="AK53" s="30">
        <f t="shared" si="38"/>
        <v>0</v>
      </c>
      <c r="AL53" s="30">
        <f t="shared" si="39"/>
        <v>100.00000000000003</v>
      </c>
    </row>
    <row r="54" spans="1:38">
      <c r="A54" s="26" t="s">
        <v>63</v>
      </c>
      <c r="B54" s="27">
        <v>55.21</v>
      </c>
      <c r="C54" s="27"/>
      <c r="D54" s="27">
        <v>0.25</v>
      </c>
      <c r="E54" s="27"/>
      <c r="F54" s="27">
        <v>1.67</v>
      </c>
      <c r="G54" s="27">
        <v>4.79</v>
      </c>
      <c r="H54" s="27"/>
      <c r="I54" s="27">
        <v>0.77</v>
      </c>
      <c r="J54" s="27">
        <v>25.25</v>
      </c>
      <c r="K54" s="27">
        <v>10.06</v>
      </c>
      <c r="L54" s="27">
        <v>0.2</v>
      </c>
      <c r="M54" s="27">
        <v>0.43</v>
      </c>
      <c r="N54" s="27"/>
      <c r="O54" s="27"/>
      <c r="P54" s="31" t="s">
        <v>63</v>
      </c>
      <c r="Q54" s="23" t="str">
        <f t="shared" si="20"/>
        <v>普通采样点</v>
      </c>
      <c r="R54" s="23" t="str">
        <f>VLOOKUP(P54,表单1_清洗!$A$2:$E$59,3,FALSE)</f>
        <v>铅钡</v>
      </c>
      <c r="S54" s="23" t="str">
        <f>VLOOKUP(P54,表单1_清洗!$A$2:$E$59,5,FALSE)</f>
        <v>无风化</v>
      </c>
      <c r="T54" s="23" t="str">
        <f t="shared" si="21"/>
        <v>无风化</v>
      </c>
      <c r="U54" s="29">
        <f t="shared" si="22"/>
        <v>98.63000000000001</v>
      </c>
      <c r="V54" s="23" t="str">
        <f t="shared" si="23"/>
        <v>有效</v>
      </c>
      <c r="W54" s="23">
        <f t="shared" si="24"/>
        <v>5</v>
      </c>
      <c r="X54" s="30">
        <f t="shared" si="25"/>
        <v>55.976883301226799</v>
      </c>
      <c r="Y54" s="30">
        <f t="shared" si="26"/>
        <v>0</v>
      </c>
      <c r="Z54" s="30">
        <f t="shared" si="27"/>
        <v>0.25347257426746428</v>
      </c>
      <c r="AA54" s="30">
        <f t="shared" si="28"/>
        <v>0</v>
      </c>
      <c r="AB54" s="30">
        <f t="shared" si="29"/>
        <v>1.6931967961066612</v>
      </c>
      <c r="AC54" s="30">
        <f t="shared" si="30"/>
        <v>4.8565345229646146</v>
      </c>
      <c r="AD54" s="30">
        <f t="shared" si="31"/>
        <v>0</v>
      </c>
      <c r="AE54" s="30">
        <f t="shared" si="32"/>
        <v>0.78069552874378989</v>
      </c>
      <c r="AF54" s="30">
        <f t="shared" si="33"/>
        <v>25.60073000101389</v>
      </c>
      <c r="AG54" s="30">
        <f t="shared" si="34"/>
        <v>10.19973638852276</v>
      </c>
      <c r="AH54" s="30">
        <f t="shared" si="35"/>
        <v>0.2027780594139714</v>
      </c>
      <c r="AI54" s="30">
        <f t="shared" si="36"/>
        <v>0.43597282774003848</v>
      </c>
      <c r="AJ54" s="30">
        <f t="shared" si="37"/>
        <v>0</v>
      </c>
      <c r="AK54" s="30">
        <f t="shared" si="38"/>
        <v>0</v>
      </c>
      <c r="AL54" s="30">
        <f t="shared" si="39"/>
        <v>100</v>
      </c>
    </row>
    <row r="55" spans="1:38">
      <c r="A55" s="26" t="s">
        <v>64</v>
      </c>
      <c r="B55" s="27">
        <v>51.54</v>
      </c>
      <c r="C55" s="27">
        <v>4.66</v>
      </c>
      <c r="D55" s="27">
        <v>0.28999999999999998</v>
      </c>
      <c r="E55" s="27">
        <v>0.87</v>
      </c>
      <c r="F55" s="27">
        <v>0.61</v>
      </c>
      <c r="G55" s="27">
        <v>3.06</v>
      </c>
      <c r="H55" s="27"/>
      <c r="I55" s="27">
        <v>0.65</v>
      </c>
      <c r="J55" s="27">
        <v>25.4</v>
      </c>
      <c r="K55" s="27">
        <v>9.23</v>
      </c>
      <c r="L55" s="27">
        <v>0.1</v>
      </c>
      <c r="M55" s="27">
        <v>0.85</v>
      </c>
      <c r="N55" s="27"/>
      <c r="O55" s="27"/>
      <c r="P55" s="31" t="s">
        <v>64</v>
      </c>
      <c r="Q55" s="23" t="str">
        <f t="shared" si="20"/>
        <v>普通采样点</v>
      </c>
      <c r="R55" s="23" t="str">
        <f>VLOOKUP(P55,表单1_清洗!$A$2:$E$59,3,FALSE)</f>
        <v>铅钡</v>
      </c>
      <c r="S55" s="23" t="str">
        <f>VLOOKUP(P55,表单1_清洗!$A$2:$E$59,5,FALSE)</f>
        <v>无风化</v>
      </c>
      <c r="T55" s="23" t="str">
        <f t="shared" si="21"/>
        <v>无风化</v>
      </c>
      <c r="U55" s="29">
        <f t="shared" si="22"/>
        <v>97.259999999999991</v>
      </c>
      <c r="V55" s="23" t="str">
        <f t="shared" si="23"/>
        <v>有效</v>
      </c>
      <c r="W55" s="23">
        <f t="shared" si="24"/>
        <v>3</v>
      </c>
      <c r="X55" s="30">
        <f t="shared" si="25"/>
        <v>52.991980259099321</v>
      </c>
      <c r="Y55" s="30">
        <f t="shared" si="26"/>
        <v>4.7912811022002888</v>
      </c>
      <c r="Z55" s="30">
        <f t="shared" si="27"/>
        <v>0.29816985399958873</v>
      </c>
      <c r="AA55" s="30">
        <f t="shared" si="28"/>
        <v>0.89450956199876619</v>
      </c>
      <c r="AB55" s="30">
        <f t="shared" si="29"/>
        <v>0.62718486530947981</v>
      </c>
      <c r="AC55" s="30">
        <f t="shared" si="30"/>
        <v>3.1462060456508332</v>
      </c>
      <c r="AD55" s="30">
        <f t="shared" si="31"/>
        <v>0</v>
      </c>
      <c r="AE55" s="30">
        <f t="shared" si="32"/>
        <v>0.66831174172321617</v>
      </c>
      <c r="AF55" s="30">
        <f t="shared" si="33"/>
        <v>26.115566522722599</v>
      </c>
      <c r="AG55" s="30">
        <f t="shared" si="34"/>
        <v>9.4900267324696692</v>
      </c>
      <c r="AH55" s="30">
        <f t="shared" si="35"/>
        <v>0.10281719103434096</v>
      </c>
      <c r="AI55" s="30">
        <f t="shared" si="36"/>
        <v>0.87394612379189796</v>
      </c>
      <c r="AJ55" s="30">
        <f t="shared" si="37"/>
        <v>0</v>
      </c>
      <c r="AK55" s="30">
        <f t="shared" si="38"/>
        <v>0</v>
      </c>
      <c r="AL55" s="30">
        <f t="shared" si="39"/>
        <v>100.00000000000001</v>
      </c>
    </row>
    <row r="56" spans="1:38">
      <c r="A56" s="26" t="s">
        <v>65</v>
      </c>
      <c r="B56" s="27">
        <v>53.33</v>
      </c>
      <c r="C56" s="27">
        <v>0.8</v>
      </c>
      <c r="D56" s="27">
        <v>0.32</v>
      </c>
      <c r="E56" s="27">
        <v>2.82</v>
      </c>
      <c r="F56" s="27">
        <v>1.54</v>
      </c>
      <c r="G56" s="27">
        <v>13.65</v>
      </c>
      <c r="H56" s="27">
        <v>1.03</v>
      </c>
      <c r="I56" s="27"/>
      <c r="J56" s="27">
        <v>15.71</v>
      </c>
      <c r="K56" s="27">
        <v>7.31</v>
      </c>
      <c r="L56" s="27">
        <v>1.1000000000000001</v>
      </c>
      <c r="M56" s="27">
        <v>0.25</v>
      </c>
      <c r="N56" s="27">
        <v>1.31</v>
      </c>
      <c r="O56" s="27"/>
      <c r="P56" s="31" t="s">
        <v>65</v>
      </c>
      <c r="Q56" s="23" t="str">
        <f t="shared" si="20"/>
        <v>普通采样点</v>
      </c>
      <c r="R56" s="23" t="str">
        <f>VLOOKUP(P56,表单1_清洗!$A$2:$E$59,3,FALSE)</f>
        <v>铅钡</v>
      </c>
      <c r="S56" s="23" t="str">
        <f>VLOOKUP(P56,表单1_清洗!$A$2:$E$59,5,FALSE)</f>
        <v>风化</v>
      </c>
      <c r="T56" s="23" t="str">
        <f t="shared" si="21"/>
        <v>风化</v>
      </c>
      <c r="U56" s="29">
        <f t="shared" si="22"/>
        <v>99.169999999999987</v>
      </c>
      <c r="V56" s="23" t="str">
        <f t="shared" si="23"/>
        <v>有效</v>
      </c>
      <c r="W56" s="23">
        <f t="shared" si="24"/>
        <v>2</v>
      </c>
      <c r="X56" s="30">
        <f t="shared" si="25"/>
        <v>53.776343652314218</v>
      </c>
      <c r="Y56" s="30">
        <f t="shared" si="26"/>
        <v>0.80669557325804186</v>
      </c>
      <c r="Z56" s="30">
        <f t="shared" si="27"/>
        <v>0.32267822930321677</v>
      </c>
      <c r="AA56" s="30">
        <f t="shared" si="28"/>
        <v>2.8436018957345972</v>
      </c>
      <c r="AB56" s="30">
        <f t="shared" si="29"/>
        <v>1.5528889785217306</v>
      </c>
      <c r="AC56" s="30">
        <f t="shared" si="30"/>
        <v>13.764243218715338</v>
      </c>
      <c r="AD56" s="30">
        <f t="shared" si="31"/>
        <v>1.0386205505697288</v>
      </c>
      <c r="AE56" s="30">
        <f t="shared" si="32"/>
        <v>0</v>
      </c>
      <c r="AF56" s="30">
        <f t="shared" si="33"/>
        <v>15.841484319854798</v>
      </c>
      <c r="AG56" s="30">
        <f t="shared" si="34"/>
        <v>7.3711808006453561</v>
      </c>
      <c r="AH56" s="30">
        <f t="shared" si="35"/>
        <v>1.1092064132298076</v>
      </c>
      <c r="AI56" s="30">
        <f t="shared" si="36"/>
        <v>0.25209236664313805</v>
      </c>
      <c r="AJ56" s="30">
        <f t="shared" si="37"/>
        <v>1.3209640012100434</v>
      </c>
      <c r="AK56" s="30">
        <f t="shared" si="38"/>
        <v>0</v>
      </c>
      <c r="AL56" s="30">
        <f t="shared" si="39"/>
        <v>100.00000000000003</v>
      </c>
    </row>
    <row r="57" spans="1:38">
      <c r="A57" s="26" t="s">
        <v>66</v>
      </c>
      <c r="B57" s="27">
        <v>28.79</v>
      </c>
      <c r="C57" s="27"/>
      <c r="D57" s="27"/>
      <c r="E57" s="27">
        <v>4.58</v>
      </c>
      <c r="F57" s="27">
        <v>1.47</v>
      </c>
      <c r="G57" s="27">
        <v>5.38</v>
      </c>
      <c r="H57" s="27">
        <v>2.74</v>
      </c>
      <c r="I57" s="27">
        <v>0.7</v>
      </c>
      <c r="J57" s="27">
        <v>34.18</v>
      </c>
      <c r="K57" s="27">
        <v>6.1</v>
      </c>
      <c r="L57" s="27">
        <v>11.1</v>
      </c>
      <c r="M57" s="27">
        <v>0.46</v>
      </c>
      <c r="N57" s="27"/>
      <c r="O57" s="27"/>
      <c r="P57" s="31" t="s">
        <v>66</v>
      </c>
      <c r="Q57" s="23" t="str">
        <f t="shared" si="20"/>
        <v>普通采样点</v>
      </c>
      <c r="R57" s="23" t="str">
        <f>VLOOKUP(P57,表单1_清洗!$A$2:$E$59,3,FALSE)</f>
        <v>铅钡</v>
      </c>
      <c r="S57" s="23" t="str">
        <f>VLOOKUP(P57,表单1_清洗!$A$2:$E$59,5,FALSE)</f>
        <v>风化</v>
      </c>
      <c r="T57" s="23" t="str">
        <f t="shared" si="21"/>
        <v>风化</v>
      </c>
      <c r="U57" s="29">
        <f t="shared" si="22"/>
        <v>95.499999999999986</v>
      </c>
      <c r="V57" s="23" t="str">
        <f t="shared" si="23"/>
        <v>有效</v>
      </c>
      <c r="W57" s="23">
        <f t="shared" si="24"/>
        <v>4</v>
      </c>
      <c r="X57" s="30">
        <f t="shared" si="25"/>
        <v>30.146596858638748</v>
      </c>
      <c r="Y57" s="30">
        <f t="shared" si="26"/>
        <v>0</v>
      </c>
      <c r="Z57" s="30">
        <f t="shared" si="27"/>
        <v>0</v>
      </c>
      <c r="AA57" s="30">
        <f t="shared" si="28"/>
        <v>4.7958115183246077</v>
      </c>
      <c r="AB57" s="30">
        <f t="shared" si="29"/>
        <v>1.5392670157068065</v>
      </c>
      <c r="AC57" s="30">
        <f t="shared" si="30"/>
        <v>5.6335078534031418</v>
      </c>
      <c r="AD57" s="30">
        <f t="shared" si="31"/>
        <v>2.8691099476439796</v>
      </c>
      <c r="AE57" s="30">
        <f t="shared" si="32"/>
        <v>0.73298429319371738</v>
      </c>
      <c r="AF57" s="30">
        <f t="shared" si="33"/>
        <v>35.790575916230374</v>
      </c>
      <c r="AG57" s="30">
        <f t="shared" si="34"/>
        <v>6.3874345549738223</v>
      </c>
      <c r="AH57" s="30">
        <f t="shared" si="35"/>
        <v>11.623036649214662</v>
      </c>
      <c r="AI57" s="30">
        <f t="shared" si="36"/>
        <v>0.48167539267015713</v>
      </c>
      <c r="AJ57" s="30">
        <f t="shared" si="37"/>
        <v>0</v>
      </c>
      <c r="AK57" s="30">
        <f t="shared" si="38"/>
        <v>0</v>
      </c>
      <c r="AL57" s="30">
        <f t="shared" si="39"/>
        <v>100</v>
      </c>
    </row>
    <row r="58" spans="1:38">
      <c r="A58" s="26" t="s">
        <v>110</v>
      </c>
      <c r="B58" s="27">
        <v>54.61</v>
      </c>
      <c r="C58" s="27"/>
      <c r="D58" s="27">
        <v>0.3</v>
      </c>
      <c r="E58" s="27">
        <v>2.08</v>
      </c>
      <c r="F58" s="27">
        <v>1.2</v>
      </c>
      <c r="G58" s="27">
        <v>6.5</v>
      </c>
      <c r="H58" s="27">
        <v>1.27</v>
      </c>
      <c r="I58" s="27">
        <v>0.45</v>
      </c>
      <c r="J58" s="27">
        <v>23.02</v>
      </c>
      <c r="K58" s="27">
        <v>4.1900000000000004</v>
      </c>
      <c r="L58" s="27">
        <v>4.32</v>
      </c>
      <c r="M58" s="27">
        <v>0.3</v>
      </c>
      <c r="N58" s="27"/>
      <c r="O58" s="27"/>
      <c r="P58" s="31" t="s">
        <v>66</v>
      </c>
      <c r="Q58" s="23" t="str">
        <f t="shared" si="20"/>
        <v>未风化点</v>
      </c>
      <c r="R58" s="23" t="str">
        <f>VLOOKUP(P58,表单1_清洗!$A$2:$E$59,3,FALSE)</f>
        <v>铅钡</v>
      </c>
      <c r="S58" s="23" t="str">
        <f>VLOOKUP(P58,表单1_清洗!$A$2:$E$59,5,FALSE)</f>
        <v>风化</v>
      </c>
      <c r="T58" s="23" t="str">
        <f t="shared" si="21"/>
        <v>无风化</v>
      </c>
      <c r="U58" s="29">
        <f t="shared" si="22"/>
        <v>98.24</v>
      </c>
      <c r="V58" s="23" t="str">
        <f t="shared" si="23"/>
        <v>有效</v>
      </c>
      <c r="W58" s="23">
        <f t="shared" si="24"/>
        <v>3</v>
      </c>
      <c r="X58" s="30">
        <f t="shared" si="25"/>
        <v>55.588355048859938</v>
      </c>
      <c r="Y58" s="30">
        <f t="shared" si="26"/>
        <v>0</v>
      </c>
      <c r="Z58" s="30">
        <f t="shared" si="27"/>
        <v>0.30537459283387625</v>
      </c>
      <c r="AA58" s="30">
        <f t="shared" si="28"/>
        <v>2.1172638436482085</v>
      </c>
      <c r="AB58" s="30">
        <f t="shared" si="29"/>
        <v>1.221498371335505</v>
      </c>
      <c r="AC58" s="30">
        <f t="shared" si="30"/>
        <v>6.6164495114006519</v>
      </c>
      <c r="AD58" s="30">
        <f t="shared" si="31"/>
        <v>1.2927524429967427</v>
      </c>
      <c r="AE58" s="30">
        <f t="shared" si="32"/>
        <v>0.45806188925081437</v>
      </c>
      <c r="AF58" s="30">
        <f t="shared" si="33"/>
        <v>23.432410423452772</v>
      </c>
      <c r="AG58" s="30">
        <f t="shared" si="34"/>
        <v>4.2650651465798051</v>
      </c>
      <c r="AH58" s="30">
        <f t="shared" si="35"/>
        <v>4.3973941368078178</v>
      </c>
      <c r="AI58" s="30">
        <f t="shared" si="36"/>
        <v>0.30537459283387625</v>
      </c>
      <c r="AJ58" s="30">
        <f t="shared" si="37"/>
        <v>0</v>
      </c>
      <c r="AK58" s="30">
        <f t="shared" si="38"/>
        <v>0</v>
      </c>
      <c r="AL58" s="30">
        <f t="shared" si="39"/>
        <v>100.00000000000001</v>
      </c>
    </row>
    <row r="59" spans="1:38">
      <c r="A59" s="26" t="s">
        <v>68</v>
      </c>
      <c r="B59" s="27">
        <v>17.98</v>
      </c>
      <c r="C59" s="27"/>
      <c r="D59" s="27"/>
      <c r="E59" s="27">
        <v>3.19</v>
      </c>
      <c r="F59" s="27">
        <v>0.47</v>
      </c>
      <c r="G59" s="27">
        <v>1.87</v>
      </c>
      <c r="H59" s="27">
        <v>0.33</v>
      </c>
      <c r="I59" s="27">
        <v>1.1299999999999999</v>
      </c>
      <c r="J59" s="27">
        <v>44</v>
      </c>
      <c r="K59" s="27">
        <v>14.2</v>
      </c>
      <c r="L59" s="27">
        <v>6.34</v>
      </c>
      <c r="M59" s="27">
        <v>0.66</v>
      </c>
      <c r="N59" s="27"/>
      <c r="O59" s="27"/>
      <c r="P59" s="31" t="s">
        <v>68</v>
      </c>
      <c r="Q59" s="23" t="str">
        <f t="shared" si="20"/>
        <v>普通采样点</v>
      </c>
      <c r="R59" s="23" t="str">
        <f>VLOOKUP(P59,表单1_清洗!$A$2:$E$59,3,FALSE)</f>
        <v>铅钡</v>
      </c>
      <c r="S59" s="23" t="str">
        <f>VLOOKUP(P59,表单1_清洗!$A$2:$E$59,5,FALSE)</f>
        <v>风化</v>
      </c>
      <c r="T59" s="23" t="str">
        <f t="shared" si="21"/>
        <v>风化</v>
      </c>
      <c r="U59" s="29">
        <f t="shared" si="22"/>
        <v>90.17</v>
      </c>
      <c r="V59" s="23" t="str">
        <f t="shared" si="23"/>
        <v>有效</v>
      </c>
      <c r="W59" s="23">
        <f t="shared" si="24"/>
        <v>4</v>
      </c>
      <c r="X59" s="30">
        <f t="shared" si="25"/>
        <v>19.940113119662858</v>
      </c>
      <c r="Y59" s="30">
        <f t="shared" si="26"/>
        <v>0</v>
      </c>
      <c r="Z59" s="30">
        <f t="shared" si="27"/>
        <v>0</v>
      </c>
      <c r="AA59" s="30">
        <f t="shared" si="28"/>
        <v>3.5377620051014746</v>
      </c>
      <c r="AB59" s="30">
        <f t="shared" si="29"/>
        <v>0.52123766219363421</v>
      </c>
      <c r="AC59" s="30">
        <f t="shared" si="30"/>
        <v>2.0738604857491403</v>
      </c>
      <c r="AD59" s="30">
        <f t="shared" si="31"/>
        <v>0.36597537983808365</v>
      </c>
      <c r="AE59" s="30">
        <f t="shared" si="32"/>
        <v>1.2531884218698013</v>
      </c>
      <c r="AF59" s="30">
        <f t="shared" si="33"/>
        <v>48.79671731174448</v>
      </c>
      <c r="AG59" s="30">
        <f t="shared" si="34"/>
        <v>15.748031496062993</v>
      </c>
      <c r="AH59" s="30">
        <f t="shared" si="35"/>
        <v>7.0311633581013639</v>
      </c>
      <c r="AI59" s="30">
        <f t="shared" si="36"/>
        <v>0.7319507596761673</v>
      </c>
      <c r="AJ59" s="30">
        <f t="shared" si="37"/>
        <v>0</v>
      </c>
      <c r="AK59" s="30">
        <f t="shared" si="38"/>
        <v>0</v>
      </c>
      <c r="AL59" s="30">
        <f t="shared" si="39"/>
        <v>100</v>
      </c>
    </row>
    <row r="60" spans="1:38">
      <c r="A60" s="26" t="s">
        <v>111</v>
      </c>
      <c r="B60" s="27">
        <v>45.02</v>
      </c>
      <c r="C60" s="27"/>
      <c r="D60" s="27"/>
      <c r="E60" s="27">
        <v>3.12</v>
      </c>
      <c r="F60" s="27">
        <v>0.54</v>
      </c>
      <c r="G60" s="27">
        <v>4.16</v>
      </c>
      <c r="H60" s="27"/>
      <c r="I60" s="27">
        <v>0.7</v>
      </c>
      <c r="J60" s="27">
        <v>30.61</v>
      </c>
      <c r="K60" s="27">
        <v>6.22</v>
      </c>
      <c r="L60" s="27">
        <v>6.34</v>
      </c>
      <c r="M60" s="27">
        <v>0.23</v>
      </c>
      <c r="N60" s="27"/>
      <c r="O60" s="27"/>
      <c r="P60" s="31" t="s">
        <v>68</v>
      </c>
      <c r="Q60" s="23" t="str">
        <f t="shared" si="20"/>
        <v>未风化点</v>
      </c>
      <c r="R60" s="23" t="str">
        <f>VLOOKUP(P60,表单1_清洗!$A$2:$E$59,3,FALSE)</f>
        <v>铅钡</v>
      </c>
      <c r="S60" s="23" t="str">
        <f>VLOOKUP(P60,表单1_清洗!$A$2:$E$59,5,FALSE)</f>
        <v>风化</v>
      </c>
      <c r="T60" s="23" t="str">
        <f t="shared" si="21"/>
        <v>无风化</v>
      </c>
      <c r="U60" s="29">
        <f t="shared" si="22"/>
        <v>96.940000000000012</v>
      </c>
      <c r="V60" s="23" t="str">
        <f t="shared" si="23"/>
        <v>有效</v>
      </c>
      <c r="W60" s="23">
        <f t="shared" si="24"/>
        <v>5</v>
      </c>
      <c r="X60" s="30">
        <f t="shared" si="25"/>
        <v>46.441097586135747</v>
      </c>
      <c r="Y60" s="30">
        <f t="shared" si="26"/>
        <v>0</v>
      </c>
      <c r="Z60" s="30">
        <f t="shared" si="27"/>
        <v>0</v>
      </c>
      <c r="AA60" s="30">
        <f t="shared" si="28"/>
        <v>3.2184856612337525</v>
      </c>
      <c r="AB60" s="30">
        <f t="shared" si="29"/>
        <v>0.55704559521353414</v>
      </c>
      <c r="AC60" s="30">
        <f t="shared" si="30"/>
        <v>4.2913142149783372</v>
      </c>
      <c r="AD60" s="30">
        <f t="shared" si="31"/>
        <v>0</v>
      </c>
      <c r="AE60" s="30">
        <f t="shared" si="32"/>
        <v>0.72209614194347005</v>
      </c>
      <c r="AF60" s="30">
        <f t="shared" si="33"/>
        <v>31.576232721270888</v>
      </c>
      <c r="AG60" s="30">
        <f t="shared" si="34"/>
        <v>6.4163400041262628</v>
      </c>
      <c r="AH60" s="30">
        <f t="shared" si="35"/>
        <v>6.5401279141737145</v>
      </c>
      <c r="AI60" s="30">
        <f t="shared" si="36"/>
        <v>0.23726016092428304</v>
      </c>
      <c r="AJ60" s="30">
        <f t="shared" si="37"/>
        <v>0</v>
      </c>
      <c r="AK60" s="30">
        <f t="shared" si="38"/>
        <v>0</v>
      </c>
      <c r="AL60" s="30">
        <f t="shared" si="39"/>
        <v>99.999999999999986</v>
      </c>
    </row>
    <row r="61" spans="1:38">
      <c r="A61" s="26" t="s">
        <v>112</v>
      </c>
      <c r="B61" s="27">
        <v>24.61</v>
      </c>
      <c r="C61" s="27"/>
      <c r="D61" s="27"/>
      <c r="E61" s="27">
        <v>3.58</v>
      </c>
      <c r="F61" s="27">
        <v>1.19</v>
      </c>
      <c r="G61" s="27">
        <v>5.25</v>
      </c>
      <c r="H61" s="27">
        <v>1.19</v>
      </c>
      <c r="I61" s="27">
        <v>1.37</v>
      </c>
      <c r="J61" s="27">
        <v>40.24</v>
      </c>
      <c r="K61" s="27">
        <v>8.94</v>
      </c>
      <c r="L61" s="27">
        <v>8.1</v>
      </c>
      <c r="M61" s="27">
        <v>0.39</v>
      </c>
      <c r="N61" s="27">
        <v>0.47</v>
      </c>
      <c r="O61" s="27"/>
      <c r="P61" s="31" t="s">
        <v>69</v>
      </c>
      <c r="Q61" s="23" t="str">
        <f t="shared" si="20"/>
        <v>不同部位</v>
      </c>
      <c r="R61" s="23" t="str">
        <f>VLOOKUP(P61,表单1_清洗!$A$2:$E$59,3,FALSE)</f>
        <v>铅钡</v>
      </c>
      <c r="S61" s="23" t="str">
        <f>VLOOKUP(P61,表单1_清洗!$A$2:$E$59,5,FALSE)</f>
        <v>风化</v>
      </c>
      <c r="T61" s="23" t="str">
        <f t="shared" si="21"/>
        <v>风化</v>
      </c>
      <c r="U61" s="29">
        <f t="shared" si="22"/>
        <v>95.329999999999984</v>
      </c>
      <c r="V61" s="23" t="str">
        <f t="shared" si="23"/>
        <v>有效</v>
      </c>
      <c r="W61" s="23">
        <f t="shared" si="24"/>
        <v>3</v>
      </c>
      <c r="X61" s="30">
        <f t="shared" si="25"/>
        <v>25.815587957620899</v>
      </c>
      <c r="Y61" s="30">
        <f t="shared" si="26"/>
        <v>0</v>
      </c>
      <c r="Z61" s="30">
        <f t="shared" si="27"/>
        <v>0</v>
      </c>
      <c r="AA61" s="30">
        <f t="shared" si="28"/>
        <v>3.7553760621000745</v>
      </c>
      <c r="AB61" s="30">
        <f t="shared" si="29"/>
        <v>1.2482953949438793</v>
      </c>
      <c r="AC61" s="30">
        <f t="shared" si="30"/>
        <v>5.5071855659288795</v>
      </c>
      <c r="AD61" s="30">
        <f t="shared" si="31"/>
        <v>1.2482953949438793</v>
      </c>
      <c r="AE61" s="30">
        <f t="shared" si="32"/>
        <v>1.4371131857757269</v>
      </c>
      <c r="AF61" s="30">
        <f t="shared" si="33"/>
        <v>42.21126612818631</v>
      </c>
      <c r="AG61" s="30">
        <f t="shared" si="34"/>
        <v>9.3779502779817481</v>
      </c>
      <c r="AH61" s="30">
        <f t="shared" si="35"/>
        <v>8.4968005874331283</v>
      </c>
      <c r="AI61" s="30">
        <f t="shared" si="36"/>
        <v>0.40910521346900253</v>
      </c>
      <c r="AJ61" s="30">
        <f t="shared" si="37"/>
        <v>0.49302423161649012</v>
      </c>
      <c r="AK61" s="30">
        <f t="shared" si="38"/>
        <v>0</v>
      </c>
      <c r="AL61" s="30">
        <f t="shared" si="39"/>
        <v>100.00000000000003</v>
      </c>
    </row>
    <row r="62" spans="1:38">
      <c r="A62" s="26" t="s">
        <v>113</v>
      </c>
      <c r="B62" s="27">
        <v>21.35</v>
      </c>
      <c r="C62" s="27"/>
      <c r="D62" s="27"/>
      <c r="E62" s="27">
        <v>5.13</v>
      </c>
      <c r="F62" s="27">
        <v>1.45</v>
      </c>
      <c r="G62" s="27">
        <v>2.5099999999999998</v>
      </c>
      <c r="H62" s="27">
        <v>0.42</v>
      </c>
      <c r="I62" s="27">
        <v>0.75</v>
      </c>
      <c r="J62" s="27">
        <v>51.34</v>
      </c>
      <c r="K62" s="27"/>
      <c r="L62" s="27">
        <v>8.75</v>
      </c>
      <c r="M62" s="27"/>
      <c r="N62" s="27"/>
      <c r="O62" s="27"/>
      <c r="P62" s="31" t="s">
        <v>69</v>
      </c>
      <c r="Q62" s="23" t="str">
        <f t="shared" si="20"/>
        <v>不同部位</v>
      </c>
      <c r="R62" s="23" t="str">
        <f>VLOOKUP(P62,表单1_清洗!$A$2:$E$59,3,FALSE)</f>
        <v>铅钡</v>
      </c>
      <c r="S62" s="23" t="str">
        <f>VLOOKUP(P62,表单1_清洗!$A$2:$E$59,5,FALSE)</f>
        <v>风化</v>
      </c>
      <c r="T62" s="23" t="str">
        <f t="shared" si="21"/>
        <v>风化</v>
      </c>
      <c r="U62" s="29">
        <f t="shared" si="22"/>
        <v>91.7</v>
      </c>
      <c r="V62" s="23" t="str">
        <f t="shared" si="23"/>
        <v>有效</v>
      </c>
      <c r="W62" s="23">
        <f t="shared" si="24"/>
        <v>6</v>
      </c>
      <c r="X62" s="30">
        <f t="shared" si="25"/>
        <v>23.282442748091604</v>
      </c>
      <c r="Y62" s="30">
        <f t="shared" si="26"/>
        <v>0</v>
      </c>
      <c r="Z62" s="30">
        <f t="shared" si="27"/>
        <v>0</v>
      </c>
      <c r="AA62" s="30">
        <f t="shared" si="28"/>
        <v>5.5943293347873499</v>
      </c>
      <c r="AB62" s="30">
        <f t="shared" si="29"/>
        <v>1.5812431842966193</v>
      </c>
      <c r="AC62" s="30">
        <f t="shared" si="30"/>
        <v>2.7371864776444923</v>
      </c>
      <c r="AD62" s="30">
        <f t="shared" si="31"/>
        <v>0.45801526717557245</v>
      </c>
      <c r="AE62" s="30">
        <f t="shared" si="32"/>
        <v>0.81788440567066523</v>
      </c>
      <c r="AF62" s="30">
        <f t="shared" si="33"/>
        <v>55.986913849509264</v>
      </c>
      <c r="AG62" s="30">
        <f t="shared" si="34"/>
        <v>0</v>
      </c>
      <c r="AH62" s="30">
        <f t="shared" si="35"/>
        <v>9.5419847328244263</v>
      </c>
      <c r="AI62" s="30">
        <f t="shared" si="36"/>
        <v>0</v>
      </c>
      <c r="AJ62" s="30">
        <f t="shared" si="37"/>
        <v>0</v>
      </c>
      <c r="AK62" s="30">
        <f t="shared" si="38"/>
        <v>0</v>
      </c>
      <c r="AL62" s="30">
        <f t="shared" si="39"/>
        <v>100</v>
      </c>
    </row>
    <row r="63" spans="1:38">
      <c r="A63" s="26" t="s">
        <v>70</v>
      </c>
      <c r="B63" s="27">
        <v>25.74</v>
      </c>
      <c r="C63" s="27">
        <v>1.22</v>
      </c>
      <c r="D63" s="27"/>
      <c r="E63" s="27">
        <v>2.27</v>
      </c>
      <c r="F63" s="27">
        <v>0.55000000000000004</v>
      </c>
      <c r="G63" s="27">
        <v>1.1599999999999999</v>
      </c>
      <c r="H63" s="27">
        <v>0.23</v>
      </c>
      <c r="I63" s="27">
        <v>0.7</v>
      </c>
      <c r="J63" s="27">
        <v>47.42</v>
      </c>
      <c r="K63" s="27">
        <v>8.64</v>
      </c>
      <c r="L63" s="27">
        <v>5.71</v>
      </c>
      <c r="M63" s="27">
        <v>0.44</v>
      </c>
      <c r="N63" s="27"/>
      <c r="O63" s="27"/>
      <c r="P63" s="31" t="s">
        <v>70</v>
      </c>
      <c r="Q63" s="23" t="str">
        <f t="shared" si="20"/>
        <v>普通采样点</v>
      </c>
      <c r="R63" s="23" t="str">
        <f>VLOOKUP(P63,表单1_清洗!$A$2:$E$59,3,FALSE)</f>
        <v>铅钡</v>
      </c>
      <c r="S63" s="23" t="str">
        <f>VLOOKUP(P63,表单1_清洗!$A$2:$E$59,5,FALSE)</f>
        <v>风化</v>
      </c>
      <c r="T63" s="23" t="str">
        <f t="shared" si="21"/>
        <v>风化</v>
      </c>
      <c r="U63" s="29">
        <f t="shared" si="22"/>
        <v>94.079999999999984</v>
      </c>
      <c r="V63" s="23" t="str">
        <f t="shared" si="23"/>
        <v>有效</v>
      </c>
      <c r="W63" s="23">
        <f t="shared" si="24"/>
        <v>3</v>
      </c>
      <c r="X63" s="30">
        <f t="shared" si="25"/>
        <v>27.359693877551024</v>
      </c>
      <c r="Y63" s="30">
        <f t="shared" si="26"/>
        <v>1.2967687074829934</v>
      </c>
      <c r="Z63" s="30">
        <f t="shared" si="27"/>
        <v>0</v>
      </c>
      <c r="AA63" s="30">
        <f t="shared" si="28"/>
        <v>2.4128401360544225</v>
      </c>
      <c r="AB63" s="30">
        <f t="shared" si="29"/>
        <v>0.58460884353741505</v>
      </c>
      <c r="AC63" s="30">
        <f t="shared" si="30"/>
        <v>1.2329931972789117</v>
      </c>
      <c r="AD63" s="30">
        <f t="shared" si="31"/>
        <v>0.24447278911564632</v>
      </c>
      <c r="AE63" s="30">
        <f t="shared" si="32"/>
        <v>0.74404761904761907</v>
      </c>
      <c r="AF63" s="30">
        <f t="shared" si="33"/>
        <v>50.403911564625858</v>
      </c>
      <c r="AG63" s="30">
        <f t="shared" si="34"/>
        <v>9.1836734693877577</v>
      </c>
      <c r="AH63" s="30">
        <f t="shared" si="35"/>
        <v>6.0693027210884365</v>
      </c>
      <c r="AI63" s="30">
        <f t="shared" si="36"/>
        <v>0.46768707482993205</v>
      </c>
      <c r="AJ63" s="30">
        <f t="shared" si="37"/>
        <v>0</v>
      </c>
      <c r="AK63" s="30">
        <f t="shared" si="38"/>
        <v>0</v>
      </c>
      <c r="AL63" s="30">
        <f t="shared" si="39"/>
        <v>100</v>
      </c>
    </row>
    <row r="64" spans="1:38">
      <c r="A64" s="26" t="s">
        <v>114</v>
      </c>
      <c r="B64" s="27">
        <v>63.66</v>
      </c>
      <c r="C64" s="27">
        <v>3.04</v>
      </c>
      <c r="D64" s="27">
        <v>0.11</v>
      </c>
      <c r="E64" s="27">
        <v>0.78</v>
      </c>
      <c r="F64" s="27">
        <v>1.1399999999999999</v>
      </c>
      <c r="G64" s="27">
        <v>6.06</v>
      </c>
      <c r="H64" s="27"/>
      <c r="I64" s="27">
        <v>0.54</v>
      </c>
      <c r="J64" s="27">
        <v>13.66</v>
      </c>
      <c r="K64" s="27">
        <v>8.99</v>
      </c>
      <c r="L64" s="27"/>
      <c r="M64" s="27">
        <v>0.27</v>
      </c>
      <c r="N64" s="27"/>
      <c r="O64" s="27"/>
      <c r="P64" s="31" t="s">
        <v>71</v>
      </c>
      <c r="Q64" s="23" t="str">
        <f t="shared" si="20"/>
        <v>未风化点</v>
      </c>
      <c r="R64" s="23" t="str">
        <f>VLOOKUP(P64,表单1_清洗!$A$2:$E$59,3,FALSE)</f>
        <v>铅钡</v>
      </c>
      <c r="S64" s="23" t="str">
        <f>VLOOKUP(P64,表单1_清洗!$A$2:$E$59,5,FALSE)</f>
        <v>风化</v>
      </c>
      <c r="T64" s="23" t="str">
        <f t="shared" si="21"/>
        <v>无风化</v>
      </c>
      <c r="U64" s="29">
        <f t="shared" si="22"/>
        <v>98.25</v>
      </c>
      <c r="V64" s="23" t="str">
        <f t="shared" si="23"/>
        <v>有效</v>
      </c>
      <c r="W64" s="23">
        <f t="shared" si="24"/>
        <v>4</v>
      </c>
      <c r="X64" s="30">
        <f t="shared" si="25"/>
        <v>64.793893129770979</v>
      </c>
      <c r="Y64" s="30">
        <f t="shared" si="26"/>
        <v>3.0941475826972011</v>
      </c>
      <c r="Z64" s="30">
        <f t="shared" si="27"/>
        <v>0.1119592875318066</v>
      </c>
      <c r="AA64" s="30">
        <f t="shared" si="28"/>
        <v>0.79389312977099247</v>
      </c>
      <c r="AB64" s="30">
        <f t="shared" si="29"/>
        <v>1.1603053435114501</v>
      </c>
      <c r="AC64" s="30">
        <f t="shared" si="30"/>
        <v>6.1679389312977095</v>
      </c>
      <c r="AD64" s="30">
        <f t="shared" si="31"/>
        <v>0</v>
      </c>
      <c r="AE64" s="30">
        <f t="shared" si="32"/>
        <v>0.54961832061068705</v>
      </c>
      <c r="AF64" s="30">
        <f t="shared" si="33"/>
        <v>13.903307888040711</v>
      </c>
      <c r="AG64" s="30">
        <f t="shared" si="34"/>
        <v>9.1501272264631055</v>
      </c>
      <c r="AH64" s="30">
        <f t="shared" si="35"/>
        <v>0</v>
      </c>
      <c r="AI64" s="30">
        <f t="shared" si="36"/>
        <v>0.27480916030534353</v>
      </c>
      <c r="AJ64" s="30">
        <f t="shared" si="37"/>
        <v>0</v>
      </c>
      <c r="AK64" s="30">
        <f t="shared" si="38"/>
        <v>0</v>
      </c>
      <c r="AL64" s="30">
        <f t="shared" si="39"/>
        <v>99.999999999999986</v>
      </c>
    </row>
    <row r="65" spans="1:38">
      <c r="A65" s="26" t="s">
        <v>72</v>
      </c>
      <c r="B65" s="27">
        <v>22.28</v>
      </c>
      <c r="C65" s="27"/>
      <c r="D65" s="27">
        <v>0.32</v>
      </c>
      <c r="E65" s="27">
        <v>3.19</v>
      </c>
      <c r="F65" s="27">
        <v>1.28</v>
      </c>
      <c r="G65" s="27">
        <v>4.1500000000000004</v>
      </c>
      <c r="H65" s="27"/>
      <c r="I65" s="27">
        <v>0.83</v>
      </c>
      <c r="J65" s="27">
        <v>55.46</v>
      </c>
      <c r="K65" s="27">
        <v>7.04</v>
      </c>
      <c r="L65" s="27">
        <v>4.24</v>
      </c>
      <c r="M65" s="27">
        <v>0.88</v>
      </c>
      <c r="N65" s="27"/>
      <c r="O65" s="27"/>
      <c r="P65" s="31" t="s">
        <v>72</v>
      </c>
      <c r="Q65" s="23" t="str">
        <f t="shared" si="20"/>
        <v>普通采样点</v>
      </c>
      <c r="R65" s="23" t="str">
        <f>VLOOKUP(P65,表单1_清洗!$A$2:$E$59,3,FALSE)</f>
        <v>铅钡</v>
      </c>
      <c r="S65" s="23" t="str">
        <f>VLOOKUP(P65,表单1_清洗!$A$2:$E$59,5,FALSE)</f>
        <v>风化</v>
      </c>
      <c r="T65" s="23" t="str">
        <f t="shared" si="21"/>
        <v>风化</v>
      </c>
      <c r="U65" s="29">
        <f t="shared" si="22"/>
        <v>99.67</v>
      </c>
      <c r="V65" s="23" t="str">
        <f t="shared" si="23"/>
        <v>有效</v>
      </c>
      <c r="W65" s="23">
        <f t="shared" si="24"/>
        <v>4</v>
      </c>
      <c r="X65" s="30">
        <f t="shared" si="25"/>
        <v>22.353767432527341</v>
      </c>
      <c r="Y65" s="30">
        <f t="shared" si="26"/>
        <v>0</v>
      </c>
      <c r="Z65" s="30">
        <f t="shared" si="27"/>
        <v>0.32105949633791514</v>
      </c>
      <c r="AA65" s="30">
        <f t="shared" si="28"/>
        <v>3.2005618541185914</v>
      </c>
      <c r="AB65" s="30">
        <f t="shared" si="29"/>
        <v>1.2842379853516606</v>
      </c>
      <c r="AC65" s="30">
        <f t="shared" si="30"/>
        <v>4.1637403431323365</v>
      </c>
      <c r="AD65" s="30">
        <f t="shared" si="31"/>
        <v>0</v>
      </c>
      <c r="AE65" s="30">
        <f t="shared" si="32"/>
        <v>0.83274806862646733</v>
      </c>
      <c r="AF65" s="30">
        <f t="shared" si="33"/>
        <v>55.643623959064911</v>
      </c>
      <c r="AG65" s="30">
        <f t="shared" si="34"/>
        <v>7.0633089194341334</v>
      </c>
      <c r="AH65" s="30">
        <f t="shared" si="35"/>
        <v>4.2540383264773753</v>
      </c>
      <c r="AI65" s="30">
        <f t="shared" si="36"/>
        <v>0.88291361492926668</v>
      </c>
      <c r="AJ65" s="30">
        <f t="shared" si="37"/>
        <v>0</v>
      </c>
      <c r="AK65" s="30">
        <f t="shared" si="38"/>
        <v>0</v>
      </c>
      <c r="AL65" s="30">
        <f t="shared" si="39"/>
        <v>99.999999999999986</v>
      </c>
    </row>
    <row r="66" spans="1:38">
      <c r="A66" s="26" t="s">
        <v>115</v>
      </c>
      <c r="B66" s="27">
        <v>17.11</v>
      </c>
      <c r="C66" s="27"/>
      <c r="D66" s="27"/>
      <c r="E66" s="27"/>
      <c r="F66" s="27">
        <v>1.1100000000000001</v>
      </c>
      <c r="G66" s="27">
        <v>3.65</v>
      </c>
      <c r="H66" s="27"/>
      <c r="I66" s="27">
        <v>1.34</v>
      </c>
      <c r="J66" s="27">
        <v>58.46</v>
      </c>
      <c r="K66" s="27"/>
      <c r="L66" s="27">
        <v>14.13</v>
      </c>
      <c r="M66" s="27">
        <v>1.1200000000000001</v>
      </c>
      <c r="N66" s="27"/>
      <c r="O66" s="27"/>
      <c r="P66" s="31" t="s">
        <v>72</v>
      </c>
      <c r="Q66" s="23" t="str">
        <f t="shared" si="20"/>
        <v>严重风化点</v>
      </c>
      <c r="R66" s="23" t="str">
        <f>VLOOKUP(P66,表单1_清洗!$A$2:$E$59,3,FALSE)</f>
        <v>铅钡</v>
      </c>
      <c r="S66" s="23" t="str">
        <f>VLOOKUP(P66,表单1_清洗!$A$2:$E$59,5,FALSE)</f>
        <v>风化</v>
      </c>
      <c r="T66" s="23" t="str">
        <f t="shared" ref="T66:T97" si="40">IF(ISNUMBER(SEARCH("未风化点",A66)),"无风化",IF(ISNUMBER(SEARCH("严重风化点",A66)),"风化",S66))</f>
        <v>风化</v>
      </c>
      <c r="U66" s="29">
        <f t="shared" si="22"/>
        <v>96.92</v>
      </c>
      <c r="V66" s="23" t="str">
        <f t="shared" ref="V66:V97" si="41">IF(AND(U66&gt;=85,U66&lt;=105),"有效","无效")</f>
        <v>有效</v>
      </c>
      <c r="W66" s="23">
        <f t="shared" si="24"/>
        <v>7</v>
      </c>
      <c r="X66" s="30">
        <f t="shared" si="25"/>
        <v>17.653735039207593</v>
      </c>
      <c r="Y66" s="30">
        <f t="shared" si="26"/>
        <v>0</v>
      </c>
      <c r="Z66" s="30">
        <f t="shared" si="27"/>
        <v>0</v>
      </c>
      <c r="AA66" s="30">
        <f t="shared" si="28"/>
        <v>0</v>
      </c>
      <c r="AB66" s="30">
        <f t="shared" si="29"/>
        <v>1.1452744531572432</v>
      </c>
      <c r="AC66" s="30">
        <f t="shared" si="30"/>
        <v>3.765992571192736</v>
      </c>
      <c r="AD66" s="30">
        <f t="shared" si="31"/>
        <v>0</v>
      </c>
      <c r="AE66" s="30">
        <f t="shared" si="32"/>
        <v>1.3825835740817169</v>
      </c>
      <c r="AF66" s="30">
        <f t="shared" si="33"/>
        <v>60.317787866281471</v>
      </c>
      <c r="AG66" s="30">
        <f t="shared" si="34"/>
        <v>0</v>
      </c>
      <c r="AH66" s="30">
        <f t="shared" si="35"/>
        <v>14.579034255055717</v>
      </c>
      <c r="AI66" s="30">
        <f t="shared" si="36"/>
        <v>1.1555922410235246</v>
      </c>
      <c r="AJ66" s="30">
        <f t="shared" si="37"/>
        <v>0</v>
      </c>
      <c r="AK66" s="30">
        <f t="shared" si="38"/>
        <v>0</v>
      </c>
      <c r="AL66" s="30">
        <f t="shared" ref="AL66:AL97" si="42">IF(V66="有效",SUM(X66:AK66),"")</f>
        <v>100</v>
      </c>
    </row>
    <row r="67" spans="1:38">
      <c r="A67" s="26" t="s">
        <v>73</v>
      </c>
      <c r="B67" s="27">
        <v>49.01</v>
      </c>
      <c r="C67" s="27">
        <v>2.71</v>
      </c>
      <c r="D67" s="27"/>
      <c r="E67" s="27">
        <v>1.1299999999999999</v>
      </c>
      <c r="F67" s="27"/>
      <c r="G67" s="27">
        <v>1.45</v>
      </c>
      <c r="H67" s="27"/>
      <c r="I67" s="27">
        <v>0.86</v>
      </c>
      <c r="J67" s="27">
        <v>32.92</v>
      </c>
      <c r="K67" s="27">
        <v>7.95</v>
      </c>
      <c r="L67" s="27">
        <v>0.35</v>
      </c>
      <c r="M67" s="27"/>
      <c r="N67" s="27"/>
      <c r="O67" s="27"/>
      <c r="P67" s="31" t="s">
        <v>73</v>
      </c>
      <c r="Q67" s="23" t="str">
        <f t="shared" si="20"/>
        <v>普通采样点</v>
      </c>
      <c r="R67" s="23" t="str">
        <f>VLOOKUP(P67,表单1_清洗!$A$2:$E$59,3,FALSE)</f>
        <v>铅钡</v>
      </c>
      <c r="S67" s="23" t="str">
        <f>VLOOKUP(P67,表单1_清洗!$A$2:$E$59,5,FALSE)</f>
        <v>无风化</v>
      </c>
      <c r="T67" s="23" t="str">
        <f t="shared" si="40"/>
        <v>无风化</v>
      </c>
      <c r="U67" s="29">
        <f t="shared" si="22"/>
        <v>96.38000000000001</v>
      </c>
      <c r="V67" s="23" t="str">
        <f t="shared" si="41"/>
        <v>有效</v>
      </c>
      <c r="W67" s="23">
        <f t="shared" si="24"/>
        <v>6</v>
      </c>
      <c r="X67" s="30">
        <f t="shared" si="25"/>
        <v>50.850798920937947</v>
      </c>
      <c r="Y67" s="30">
        <f t="shared" si="26"/>
        <v>2.8117866777339695</v>
      </c>
      <c r="Z67" s="30">
        <f t="shared" si="27"/>
        <v>0</v>
      </c>
      <c r="AA67" s="30">
        <f t="shared" si="28"/>
        <v>1.1724424154388875</v>
      </c>
      <c r="AB67" s="30">
        <f t="shared" si="29"/>
        <v>0</v>
      </c>
      <c r="AC67" s="30">
        <f t="shared" si="30"/>
        <v>1.5044615065366256</v>
      </c>
      <c r="AD67" s="30">
        <f t="shared" si="31"/>
        <v>0</v>
      </c>
      <c r="AE67" s="30">
        <f t="shared" si="32"/>
        <v>0.8923013073251711</v>
      </c>
      <c r="AF67" s="30">
        <f t="shared" si="33"/>
        <v>34.156463996679811</v>
      </c>
      <c r="AG67" s="30">
        <f t="shared" si="34"/>
        <v>8.2485992944594315</v>
      </c>
      <c r="AH67" s="30">
        <f t="shared" si="35"/>
        <v>0.36314588088815103</v>
      </c>
      <c r="AI67" s="30">
        <f t="shared" si="36"/>
        <v>0</v>
      </c>
      <c r="AJ67" s="30">
        <f t="shared" si="37"/>
        <v>0</v>
      </c>
      <c r="AK67" s="30">
        <f t="shared" si="38"/>
        <v>0</v>
      </c>
      <c r="AL67" s="30">
        <f t="shared" si="42"/>
        <v>100.00000000000001</v>
      </c>
    </row>
    <row r="68" spans="1:38">
      <c r="A68" s="26" t="s">
        <v>75</v>
      </c>
      <c r="B68" s="27">
        <v>29.15</v>
      </c>
      <c r="C68" s="27"/>
      <c r="D68" s="27"/>
      <c r="E68" s="27">
        <v>1.21</v>
      </c>
      <c r="F68" s="27"/>
      <c r="G68" s="27">
        <v>1.85</v>
      </c>
      <c r="H68" s="27"/>
      <c r="I68" s="27">
        <v>0.79</v>
      </c>
      <c r="J68" s="27">
        <v>41.25</v>
      </c>
      <c r="K68" s="27">
        <v>15.45</v>
      </c>
      <c r="L68" s="27">
        <v>2.54</v>
      </c>
      <c r="M68" s="27"/>
      <c r="N68" s="27"/>
      <c r="O68" s="27"/>
      <c r="P68" s="31" t="s">
        <v>75</v>
      </c>
      <c r="Q68" s="23" t="str">
        <f t="shared" si="20"/>
        <v>普通采样点</v>
      </c>
      <c r="R68" s="23" t="str">
        <f>VLOOKUP(P68,表单1_清洗!$A$2:$E$59,3,FALSE)</f>
        <v>铅钡</v>
      </c>
      <c r="S68" s="23" t="str">
        <f>VLOOKUP(P68,表单1_清洗!$A$2:$E$59,5,FALSE)</f>
        <v>风化</v>
      </c>
      <c r="T68" s="23" t="str">
        <f t="shared" si="40"/>
        <v>风化</v>
      </c>
      <c r="U68" s="29">
        <f t="shared" si="22"/>
        <v>92.240000000000009</v>
      </c>
      <c r="V68" s="23" t="str">
        <f t="shared" si="41"/>
        <v>有效</v>
      </c>
      <c r="W68" s="23">
        <f t="shared" si="24"/>
        <v>7</v>
      </c>
      <c r="X68" s="30">
        <f t="shared" si="25"/>
        <v>31.602341717259318</v>
      </c>
      <c r="Y68" s="30">
        <f t="shared" si="26"/>
        <v>0</v>
      </c>
      <c r="Z68" s="30">
        <f t="shared" si="27"/>
        <v>0</v>
      </c>
      <c r="AA68" s="30">
        <f t="shared" si="28"/>
        <v>1.3117953165654812</v>
      </c>
      <c r="AB68" s="30">
        <f t="shared" si="29"/>
        <v>0</v>
      </c>
      <c r="AC68" s="30">
        <f t="shared" si="30"/>
        <v>2.005637467476149</v>
      </c>
      <c r="AD68" s="30">
        <f t="shared" si="31"/>
        <v>0</v>
      </c>
      <c r="AE68" s="30">
        <f t="shared" si="32"/>
        <v>0.8564614050303555</v>
      </c>
      <c r="AF68" s="30">
        <f t="shared" si="33"/>
        <v>44.720294882914132</v>
      </c>
      <c r="AG68" s="30">
        <f t="shared" si="34"/>
        <v>16.749783174327838</v>
      </c>
      <c r="AH68" s="30">
        <f t="shared" si="35"/>
        <v>2.7536860364267128</v>
      </c>
      <c r="AI68" s="30">
        <f t="shared" si="36"/>
        <v>0</v>
      </c>
      <c r="AJ68" s="30">
        <f t="shared" si="37"/>
        <v>0</v>
      </c>
      <c r="AK68" s="30">
        <f t="shared" si="38"/>
        <v>0</v>
      </c>
      <c r="AL68" s="30">
        <f t="shared" si="42"/>
        <v>99.999999999999986</v>
      </c>
    </row>
    <row r="69" spans="1:38">
      <c r="A69" s="26" t="s">
        <v>76</v>
      </c>
      <c r="B69" s="27">
        <v>25.42</v>
      </c>
      <c r="C69" s="27"/>
      <c r="D69" s="27"/>
      <c r="E69" s="27">
        <v>1.31</v>
      </c>
      <c r="F69" s="27"/>
      <c r="G69" s="27">
        <v>2.1800000000000002</v>
      </c>
      <c r="H69" s="27"/>
      <c r="I69" s="27">
        <v>1.1599999999999999</v>
      </c>
      <c r="J69" s="27">
        <v>45.1</v>
      </c>
      <c r="K69" s="27">
        <v>17.3</v>
      </c>
      <c r="L69" s="27"/>
      <c r="M69" s="27"/>
      <c r="N69" s="27"/>
      <c r="O69" s="27"/>
      <c r="P69" s="31" t="s">
        <v>76</v>
      </c>
      <c r="Q69" s="23" t="str">
        <f t="shared" si="20"/>
        <v>普通采样点</v>
      </c>
      <c r="R69" s="23" t="str">
        <f>VLOOKUP(P69,表单1_清洗!$A$2:$E$59,3,FALSE)</f>
        <v>铅钡</v>
      </c>
      <c r="S69" s="23" t="str">
        <f>VLOOKUP(P69,表单1_清洗!$A$2:$E$59,5,FALSE)</f>
        <v>风化</v>
      </c>
      <c r="T69" s="23" t="str">
        <f t="shared" si="40"/>
        <v>风化</v>
      </c>
      <c r="U69" s="29">
        <f t="shared" si="22"/>
        <v>92.47</v>
      </c>
      <c r="V69" s="23" t="str">
        <f t="shared" si="41"/>
        <v>有效</v>
      </c>
      <c r="W69" s="23">
        <f t="shared" si="24"/>
        <v>8</v>
      </c>
      <c r="X69" s="30">
        <f t="shared" si="25"/>
        <v>27.489996755704553</v>
      </c>
      <c r="Y69" s="30">
        <f t="shared" si="26"/>
        <v>0</v>
      </c>
      <c r="Z69" s="30">
        <f t="shared" si="27"/>
        <v>0</v>
      </c>
      <c r="AA69" s="30">
        <f t="shared" si="28"/>
        <v>1.4166756785984644</v>
      </c>
      <c r="AB69" s="30">
        <f t="shared" si="29"/>
        <v>0</v>
      </c>
      <c r="AC69" s="30">
        <f t="shared" si="30"/>
        <v>2.3575213582783605</v>
      </c>
      <c r="AD69" s="30">
        <f t="shared" si="31"/>
        <v>0</v>
      </c>
      <c r="AE69" s="30">
        <f t="shared" si="32"/>
        <v>1.2544609062398615</v>
      </c>
      <c r="AF69" s="30">
        <f t="shared" si="33"/>
        <v>48.77257488915324</v>
      </c>
      <c r="AG69" s="30">
        <f t="shared" si="34"/>
        <v>18.708770412025522</v>
      </c>
      <c r="AH69" s="30">
        <f t="shared" si="35"/>
        <v>0</v>
      </c>
      <c r="AI69" s="30">
        <f t="shared" si="36"/>
        <v>0</v>
      </c>
      <c r="AJ69" s="30">
        <f t="shared" si="37"/>
        <v>0</v>
      </c>
      <c r="AK69" s="30">
        <f t="shared" si="38"/>
        <v>0</v>
      </c>
      <c r="AL69" s="30">
        <f t="shared" si="42"/>
        <v>100</v>
      </c>
    </row>
    <row r="70" spans="1:38">
      <c r="A70" s="26" t="s">
        <v>77</v>
      </c>
      <c r="B70" s="27">
        <v>30.39</v>
      </c>
      <c r="C70" s="27"/>
      <c r="D70" s="27">
        <v>0.34</v>
      </c>
      <c r="E70" s="27">
        <v>3.49</v>
      </c>
      <c r="F70" s="27">
        <v>0.79</v>
      </c>
      <c r="G70" s="27">
        <v>3.52</v>
      </c>
      <c r="H70" s="27">
        <v>0.86</v>
      </c>
      <c r="I70" s="27">
        <v>3.13</v>
      </c>
      <c r="J70" s="27">
        <v>39.35</v>
      </c>
      <c r="K70" s="27">
        <v>7.66</v>
      </c>
      <c r="L70" s="27">
        <v>8.99</v>
      </c>
      <c r="M70" s="27">
        <v>0.24</v>
      </c>
      <c r="N70" s="27"/>
      <c r="O70" s="27"/>
      <c r="P70" s="31" t="s">
        <v>77</v>
      </c>
      <c r="Q70" s="23" t="str">
        <f t="shared" si="20"/>
        <v>普通采样点</v>
      </c>
      <c r="R70" s="23" t="str">
        <f>VLOOKUP(P70,表单1_清洗!$A$2:$E$59,3,FALSE)</f>
        <v>铅钡</v>
      </c>
      <c r="S70" s="23" t="str">
        <f>VLOOKUP(P70,表单1_清洗!$A$2:$E$59,5,FALSE)</f>
        <v>风化</v>
      </c>
      <c r="T70" s="23" t="str">
        <f t="shared" si="40"/>
        <v>风化</v>
      </c>
      <c r="U70" s="29">
        <f t="shared" si="22"/>
        <v>98.759999999999991</v>
      </c>
      <c r="V70" s="23" t="str">
        <f t="shared" si="41"/>
        <v>有效</v>
      </c>
      <c r="W70" s="23">
        <f t="shared" si="24"/>
        <v>3</v>
      </c>
      <c r="X70" s="30">
        <f t="shared" si="25"/>
        <v>30.771567436208997</v>
      </c>
      <c r="Y70" s="30">
        <f t="shared" si="26"/>
        <v>0</v>
      </c>
      <c r="Z70" s="30">
        <f t="shared" si="27"/>
        <v>0.34426893479141357</v>
      </c>
      <c r="AA70" s="30">
        <f t="shared" si="28"/>
        <v>3.533819360064804</v>
      </c>
      <c r="AB70" s="30">
        <f t="shared" si="29"/>
        <v>0.7999189955447551</v>
      </c>
      <c r="AC70" s="30">
        <f t="shared" si="30"/>
        <v>3.5641960307816931</v>
      </c>
      <c r="AD70" s="30">
        <f t="shared" si="31"/>
        <v>0.87079789388416362</v>
      </c>
      <c r="AE70" s="30">
        <f t="shared" si="32"/>
        <v>3.1692993114621308</v>
      </c>
      <c r="AF70" s="30">
        <f t="shared" si="33"/>
        <v>39.84406642365331</v>
      </c>
      <c r="AG70" s="30">
        <f t="shared" si="34"/>
        <v>7.7561765897124353</v>
      </c>
      <c r="AH70" s="30">
        <f t="shared" si="35"/>
        <v>9.1028756581611994</v>
      </c>
      <c r="AI70" s="30">
        <f t="shared" si="36"/>
        <v>0.24301336573511545</v>
      </c>
      <c r="AJ70" s="30">
        <f t="shared" si="37"/>
        <v>0</v>
      </c>
      <c r="AK70" s="30">
        <f t="shared" si="38"/>
        <v>0</v>
      </c>
      <c r="AL70" s="30">
        <f t="shared" si="42"/>
        <v>100.00000000000001</v>
      </c>
    </row>
  </sheetData>
  <phoneticPr fontId="17" type="noConversion"/>
  <conditionalFormatting sqref="V2:V70">
    <cfRule type="containsText" dxfId="2" priority="1" operator="containsText" text="无效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8"/>
  <sheetViews>
    <sheetView showGridLines="0" workbookViewId="0">
      <selection activeCell="I4" sqref="I4"/>
    </sheetView>
  </sheetViews>
  <sheetFormatPr baseColWidth="10" defaultColWidth="8.83203125" defaultRowHeight="14"/>
  <cols>
    <col min="1" max="1" width="18" customWidth="1"/>
    <col min="2" max="7" width="14" customWidth="1"/>
    <col min="8" max="22" width="17" customWidth="1"/>
  </cols>
  <sheetData>
    <row r="1" spans="1:22" ht="34" customHeight="1">
      <c r="A1" s="25" t="s">
        <v>178</v>
      </c>
      <c r="B1" s="25" t="s">
        <v>0</v>
      </c>
      <c r="C1" s="25" t="s">
        <v>156</v>
      </c>
      <c r="D1" s="25" t="s">
        <v>157</v>
      </c>
      <c r="E1" s="25" t="s">
        <v>179</v>
      </c>
      <c r="F1" s="25" t="s">
        <v>160</v>
      </c>
      <c r="G1" s="25" t="s">
        <v>206</v>
      </c>
      <c r="H1" s="25" t="s">
        <v>163</v>
      </c>
      <c r="I1" s="25" t="s">
        <v>164</v>
      </c>
      <c r="J1" s="25" t="s">
        <v>165</v>
      </c>
      <c r="K1" s="25" t="s">
        <v>166</v>
      </c>
      <c r="L1" s="25" t="s">
        <v>167</v>
      </c>
      <c r="M1" s="25" t="s">
        <v>168</v>
      </c>
      <c r="N1" s="25" t="s">
        <v>169</v>
      </c>
      <c r="O1" s="25" t="s">
        <v>170</v>
      </c>
      <c r="P1" s="25" t="s">
        <v>171</v>
      </c>
      <c r="Q1" s="25" t="s">
        <v>172</v>
      </c>
      <c r="R1" s="25" t="s">
        <v>173</v>
      </c>
      <c r="S1" s="25" t="s">
        <v>174</v>
      </c>
      <c r="T1" s="25" t="s">
        <v>175</v>
      </c>
      <c r="U1" s="25" t="s">
        <v>176</v>
      </c>
      <c r="V1" s="25" t="s">
        <v>177</v>
      </c>
    </row>
    <row r="2" spans="1:22">
      <c r="A2" s="26" t="s">
        <v>5</v>
      </c>
      <c r="B2" s="26" t="s">
        <v>5</v>
      </c>
      <c r="C2" t="str">
        <f>表单2_清洗!Q2</f>
        <v>普通采样点</v>
      </c>
      <c r="D2" t="str">
        <f>表单2_清洗!R2</f>
        <v>高钾</v>
      </c>
      <c r="E2" t="str">
        <f>表单2_清洗!T2</f>
        <v>无风化</v>
      </c>
      <c r="F2" s="27">
        <f>表单2_清洗!U2</f>
        <v>97.61</v>
      </c>
      <c r="G2" s="32">
        <f>表单2_清洗!W2</f>
        <v>5</v>
      </c>
      <c r="H2" s="28">
        <f>表单2_清洗!X2</f>
        <v>71.027558651777483</v>
      </c>
      <c r="I2" s="28">
        <f>表单2_清洗!Y2</f>
        <v>0</v>
      </c>
      <c r="J2" s="28">
        <f>表单2_清洗!Z2</f>
        <v>10.234607109927261</v>
      </c>
      <c r="K2" s="28">
        <f>表单2_清洗!AA2</f>
        <v>6.4747464399139432</v>
      </c>
      <c r="L2" s="28">
        <f>表单2_清洗!AB2</f>
        <v>0.8913021206843561</v>
      </c>
      <c r="M2" s="28">
        <f>表单2_清洗!AC2</f>
        <v>4.0262268210224361</v>
      </c>
      <c r="N2" s="28">
        <f>表单2_清洗!AD2</f>
        <v>1.7826042413687122</v>
      </c>
      <c r="O2" s="28">
        <f>表单2_清洗!AE2</f>
        <v>3.9647577092511015</v>
      </c>
      <c r="P2" s="28">
        <f>表单2_清洗!AF2</f>
        <v>0</v>
      </c>
      <c r="Q2" s="28">
        <f>表单2_清洗!AG2</f>
        <v>0</v>
      </c>
      <c r="R2" s="28">
        <f>表单2_清洗!AH2</f>
        <v>1.1986476795410306</v>
      </c>
      <c r="S2" s="28">
        <f>表单2_清洗!AI2</f>
        <v>0</v>
      </c>
      <c r="T2" s="28">
        <f>表单2_清洗!AJ2</f>
        <v>0</v>
      </c>
      <c r="U2" s="28">
        <f>表单2_清洗!AK2</f>
        <v>0.39954922651367691</v>
      </c>
      <c r="V2" s="28">
        <f>表单2_清洗!AL2</f>
        <v>100</v>
      </c>
    </row>
    <row r="3" spans="1:22">
      <c r="A3" s="26" t="s">
        <v>10</v>
      </c>
      <c r="B3" s="26" t="s">
        <v>10</v>
      </c>
      <c r="C3" t="str">
        <f>表单2_清洗!Q3</f>
        <v>普通采样点</v>
      </c>
      <c r="D3" t="str">
        <f>表单2_清洗!R3</f>
        <v>铅钡</v>
      </c>
      <c r="E3" t="str">
        <f>表单2_清洗!T3</f>
        <v>风化</v>
      </c>
      <c r="F3" s="27">
        <f>表单2_清洗!U3</f>
        <v>99.889999999999986</v>
      </c>
      <c r="G3" s="32">
        <f>表单2_清洗!W3</f>
        <v>4</v>
      </c>
      <c r="H3" s="28">
        <f>表单2_清洗!X3</f>
        <v>36.31995194714186</v>
      </c>
      <c r="I3" s="28">
        <f>表单2_清洗!Y3</f>
        <v>0</v>
      </c>
      <c r="J3" s="28">
        <f>表单2_清洗!Z3</f>
        <v>1.0511562718990892</v>
      </c>
      <c r="K3" s="28">
        <f>表单2_清洗!AA3</f>
        <v>2.3425768345179701</v>
      </c>
      <c r="L3" s="28">
        <f>表单2_清洗!AB3</f>
        <v>1.1812994293723096</v>
      </c>
      <c r="M3" s="28">
        <f>表单2_清洗!AC3</f>
        <v>5.7363099409350298</v>
      </c>
      <c r="N3" s="28">
        <f>表单2_清洗!AD3</f>
        <v>1.8620482530783866</v>
      </c>
      <c r="O3" s="28">
        <f>表单2_清洗!AE3</f>
        <v>0.26028631494644111</v>
      </c>
      <c r="P3" s="28">
        <f>表单2_清洗!AF3</f>
        <v>47.48223045349885</v>
      </c>
      <c r="Q3" s="28">
        <f>表单2_清洗!AG3</f>
        <v>0</v>
      </c>
      <c r="R3" s="28">
        <f>表单2_清洗!AH3</f>
        <v>3.5739313244569026</v>
      </c>
      <c r="S3" s="28">
        <f>表单2_清洗!AI3</f>
        <v>0.19020923015316851</v>
      </c>
      <c r="T3" s="28">
        <f>表单2_清洗!AJ3</f>
        <v>0</v>
      </c>
      <c r="U3" s="28">
        <f>表单2_清洗!AK3</f>
        <v>0</v>
      </c>
      <c r="V3" s="28">
        <f>表单2_清洗!AL3</f>
        <v>100.00000000000001</v>
      </c>
    </row>
    <row r="4" spans="1:22">
      <c r="A4" s="26" t="s">
        <v>93</v>
      </c>
      <c r="B4" s="26" t="s">
        <v>15</v>
      </c>
      <c r="C4" t="str">
        <f>表单2_清洗!Q4</f>
        <v>不同部位</v>
      </c>
      <c r="D4" t="str">
        <f>表单2_清洗!R4</f>
        <v>高钾</v>
      </c>
      <c r="E4" t="str">
        <f>表单2_清洗!T4</f>
        <v>无风化</v>
      </c>
      <c r="F4" s="27">
        <f>表单2_清洗!U4</f>
        <v>100</v>
      </c>
      <c r="G4" s="32">
        <f>表单2_清洗!W4</f>
        <v>7</v>
      </c>
      <c r="H4" s="28">
        <f>表单2_清洗!X4</f>
        <v>87.05</v>
      </c>
      <c r="I4" s="46" t="s">
        <v>207</v>
      </c>
      <c r="J4" s="28">
        <f>表单2_清洗!Z4</f>
        <v>5.19</v>
      </c>
      <c r="K4" s="28">
        <f>表单2_清洗!AA4</f>
        <v>2.0099999999999998</v>
      </c>
      <c r="L4" s="28">
        <f>表单2_清洗!AB4</f>
        <v>0</v>
      </c>
      <c r="M4" s="28">
        <f>表单2_清洗!AC4</f>
        <v>4.0599999999999996</v>
      </c>
      <c r="N4" s="28">
        <f>表单2_清洗!AD4</f>
        <v>0</v>
      </c>
      <c r="O4" s="28">
        <f>表单2_清洗!AE4</f>
        <v>0.78</v>
      </c>
      <c r="P4" s="28">
        <f>表单2_清洗!AF4</f>
        <v>0.25</v>
      </c>
      <c r="Q4" s="28">
        <f>表单2_清洗!AG4</f>
        <v>0</v>
      </c>
      <c r="R4" s="28">
        <f>表单2_清洗!AH4</f>
        <v>0.66</v>
      </c>
      <c r="S4" s="28">
        <f>表单2_清洗!AI4</f>
        <v>0</v>
      </c>
      <c r="T4" s="28">
        <f>表单2_清洗!AJ4</f>
        <v>0</v>
      </c>
      <c r="U4" s="28">
        <f>表单2_清洗!AK4</f>
        <v>0</v>
      </c>
      <c r="V4" s="28">
        <f>表单2_清洗!AL4</f>
        <v>100</v>
      </c>
    </row>
    <row r="5" spans="1:22">
      <c r="A5" s="26" t="s">
        <v>94</v>
      </c>
      <c r="B5" s="26" t="s">
        <v>15</v>
      </c>
      <c r="C5" t="str">
        <f>表单2_清洗!Q5</f>
        <v>不同部位</v>
      </c>
      <c r="D5" t="str">
        <f>表单2_清洗!R5</f>
        <v>高钾</v>
      </c>
      <c r="E5" t="str">
        <f>表单2_清洗!T5</f>
        <v>无风化</v>
      </c>
      <c r="F5" s="27">
        <f>表单2_清洗!U5</f>
        <v>98.88</v>
      </c>
      <c r="G5" s="32">
        <f>表单2_清洗!W5</f>
        <v>3</v>
      </c>
      <c r="H5" s="28">
        <f>表单2_清洗!X5</f>
        <v>62.408980582524279</v>
      </c>
      <c r="I5" s="28">
        <f>表单2_清洗!Y5</f>
        <v>0</v>
      </c>
      <c r="J5" s="28">
        <f>表单2_清洗!Z5</f>
        <v>12.510113268608414</v>
      </c>
      <c r="K5" s="28">
        <f>表单2_清洗!AA5</f>
        <v>5.9364886731391593</v>
      </c>
      <c r="L5" s="28">
        <f>表单2_清洗!AB5</f>
        <v>1.1225728155339807</v>
      </c>
      <c r="M5" s="28">
        <f>表单2_清洗!AC5</f>
        <v>5.5622977346278324</v>
      </c>
      <c r="N5" s="28">
        <f>表单2_清洗!AD5</f>
        <v>2.1844660194174756</v>
      </c>
      <c r="O5" s="28">
        <f>表单2_清洗!AE5</f>
        <v>5.1476537216828477</v>
      </c>
      <c r="P5" s="28">
        <f>表单2_清洗!AF5</f>
        <v>1.4259708737864079</v>
      </c>
      <c r="Q5" s="28">
        <f>表单2_清洗!AG5</f>
        <v>2.8923948220064726</v>
      </c>
      <c r="R5" s="28">
        <f>表单2_清洗!AH5</f>
        <v>0.70792880258899682</v>
      </c>
      <c r="S5" s="28">
        <f>表单2_清洗!AI5</f>
        <v>0.10113268608414241</v>
      </c>
      <c r="T5" s="28">
        <f>表单2_清洗!AJ5</f>
        <v>0</v>
      </c>
      <c r="U5" s="28">
        <f>表单2_清洗!AK5</f>
        <v>0</v>
      </c>
      <c r="V5" s="28">
        <f>表单2_清洗!AL5</f>
        <v>100</v>
      </c>
    </row>
    <row r="6" spans="1:22">
      <c r="A6" s="26" t="s">
        <v>16</v>
      </c>
      <c r="B6" s="26" t="s">
        <v>16</v>
      </c>
      <c r="C6" t="str">
        <f>表单2_清洗!Q6</f>
        <v>普通采样点</v>
      </c>
      <c r="D6" t="str">
        <f>表单2_清洗!R6</f>
        <v>高钾</v>
      </c>
      <c r="E6" t="str">
        <f>表单2_清洗!T6</f>
        <v>无风化</v>
      </c>
      <c r="F6" s="27">
        <f>表单2_清洗!U6</f>
        <v>96.060000000000016</v>
      </c>
      <c r="G6" s="32">
        <f>表单2_清洗!W6</f>
        <v>5</v>
      </c>
      <c r="H6" s="28">
        <f>表单2_清洗!X6</f>
        <v>68.582136164896923</v>
      </c>
      <c r="I6" s="28">
        <f>表单2_清洗!Y6</f>
        <v>0</v>
      </c>
      <c r="J6" s="28">
        <f>表单2_清洗!Z6</f>
        <v>10.066625026025399</v>
      </c>
      <c r="K6" s="28">
        <f>表单2_清洗!AA6</f>
        <v>7.4120341453258369</v>
      </c>
      <c r="L6" s="28">
        <f>表单2_清洗!AB6</f>
        <v>1.6239850093691439</v>
      </c>
      <c r="M6" s="28">
        <f>表单2_清洗!AC6</f>
        <v>6.7041432438059543</v>
      </c>
      <c r="N6" s="28">
        <f>表单2_清洗!AD6</f>
        <v>2.1444930251925878</v>
      </c>
      <c r="O6" s="28">
        <f>表单2_清洗!AE6</f>
        <v>2.2694149489902142</v>
      </c>
      <c r="P6" s="28">
        <f>表单2_清洗!AF6</f>
        <v>0</v>
      </c>
      <c r="Q6" s="28">
        <f>表单2_清洗!AG6</f>
        <v>0</v>
      </c>
      <c r="R6" s="28">
        <f>表单2_清洗!AH6</f>
        <v>0.82240266500104087</v>
      </c>
      <c r="S6" s="28">
        <f>表单2_清洗!AI6</f>
        <v>0</v>
      </c>
      <c r="T6" s="28">
        <f>表单2_清洗!AJ6</f>
        <v>0</v>
      </c>
      <c r="U6" s="28">
        <f>表单2_清洗!AK6</f>
        <v>0.37476577139287937</v>
      </c>
      <c r="V6" s="28">
        <f>表单2_清洗!AL6</f>
        <v>99.999999999999986</v>
      </c>
    </row>
    <row r="7" spans="1:22">
      <c r="A7" s="26" t="s">
        <v>17</v>
      </c>
      <c r="B7" s="26" t="s">
        <v>17</v>
      </c>
      <c r="C7" t="str">
        <f>表单2_清洗!Q7</f>
        <v>普通采样点</v>
      </c>
      <c r="D7" t="str">
        <f>表单2_清洗!R7</f>
        <v>高钾</v>
      </c>
      <c r="E7" t="str">
        <f>表单2_清洗!T7</f>
        <v>无风化</v>
      </c>
      <c r="F7" s="27">
        <f>表单2_清洗!U7</f>
        <v>96.509999999999991</v>
      </c>
      <c r="G7" s="32">
        <f>表单2_清洗!W7</f>
        <v>4</v>
      </c>
      <c r="H7" s="28">
        <f>表单2_清洗!X7</f>
        <v>63.806859392809031</v>
      </c>
      <c r="I7" s="28">
        <f>表单2_清洗!Y7</f>
        <v>0</v>
      </c>
      <c r="J7" s="28">
        <f>表单2_清洗!Z7</f>
        <v>11.345974510413429</v>
      </c>
      <c r="K7" s="28">
        <f>表单2_清洗!AA7</f>
        <v>7.6157911097295621</v>
      </c>
      <c r="L7" s="28">
        <f>表单2_清洗!AB7</f>
        <v>1.834006838669568</v>
      </c>
      <c r="M7" s="28">
        <f>表单2_清洗!AC7</f>
        <v>7.7712154180913897</v>
      </c>
      <c r="N7" s="28">
        <f>表单2_清洗!AD7</f>
        <v>2.7147445860532593</v>
      </c>
      <c r="O7" s="28">
        <f>表单2_清洗!AE7</f>
        <v>3.3882499222878462</v>
      </c>
      <c r="P7" s="28">
        <f>表单2_清洗!AF7</f>
        <v>0</v>
      </c>
      <c r="Q7" s="28">
        <f>表单2_清洗!AG7</f>
        <v>0</v>
      </c>
      <c r="R7" s="28">
        <f>表单2_清洗!AH7</f>
        <v>0.97399233240078753</v>
      </c>
      <c r="S7" s="28">
        <f>表单2_清洗!AI7</f>
        <v>6.2169723344731122E-2</v>
      </c>
      <c r="T7" s="28">
        <f>表单2_清洗!AJ7</f>
        <v>0</v>
      </c>
      <c r="U7" s="28">
        <f>表单2_清洗!AK7</f>
        <v>0.48699616620039377</v>
      </c>
      <c r="V7" s="28">
        <f>表单2_清洗!AL7</f>
        <v>99.999999999999986</v>
      </c>
    </row>
    <row r="8" spans="1:22">
      <c r="A8" s="26" t="s">
        <v>95</v>
      </c>
      <c r="B8" s="26" t="s">
        <v>18</v>
      </c>
      <c r="C8" t="str">
        <f>表单2_清洗!Q8</f>
        <v>不同部位</v>
      </c>
      <c r="D8" t="str">
        <f>表单2_清洗!R8</f>
        <v>高钾</v>
      </c>
      <c r="E8" t="str">
        <f>表单2_清洗!T8</f>
        <v>无风化</v>
      </c>
      <c r="F8" s="27">
        <f>表单2_清洗!U8</f>
        <v>98.92000000000003</v>
      </c>
      <c r="G8" s="32">
        <f>表单2_清洗!W8</f>
        <v>4</v>
      </c>
      <c r="H8" s="28">
        <f>表单2_清洗!X8</f>
        <v>68.388596845936107</v>
      </c>
      <c r="I8" s="28">
        <f>表单2_清洗!Y8</f>
        <v>0</v>
      </c>
      <c r="J8" s="28">
        <f>表单2_清洗!Z8</f>
        <v>7.4504650222401922</v>
      </c>
      <c r="K8" s="28">
        <f>表单2_清洗!AA8</f>
        <v>0</v>
      </c>
      <c r="L8" s="28">
        <f>表单2_清洗!AB8</f>
        <v>2.0016174686615438</v>
      </c>
      <c r="M8" s="28">
        <f>表单2_清洗!AC8</f>
        <v>11.271734735139503</v>
      </c>
      <c r="N8" s="28">
        <f>表单2_清洗!AD8</f>
        <v>2.416093813182369</v>
      </c>
      <c r="O8" s="28">
        <f>表单2_清洗!AE8</f>
        <v>2.5374039627982197</v>
      </c>
      <c r="P8" s="28">
        <f>表单2_清洗!AF8</f>
        <v>0.20218358269308528</v>
      </c>
      <c r="Q8" s="28">
        <f>表单2_清洗!AG8</f>
        <v>1.3950667205822882</v>
      </c>
      <c r="R8" s="28">
        <f>表单2_清洗!AH8</f>
        <v>4.2256368782854814</v>
      </c>
      <c r="S8" s="28">
        <f>表单2_清洗!AI8</f>
        <v>0.1112009704811969</v>
      </c>
      <c r="T8" s="28">
        <f>表单2_清洗!AJ8</f>
        <v>0</v>
      </c>
      <c r="U8" s="28">
        <f>表单2_清洗!AK8</f>
        <v>0</v>
      </c>
      <c r="V8" s="28">
        <f>表单2_清洗!AL8</f>
        <v>100</v>
      </c>
    </row>
    <row r="9" spans="1:22">
      <c r="A9" s="26" t="s">
        <v>96</v>
      </c>
      <c r="B9" s="26" t="s">
        <v>18</v>
      </c>
      <c r="C9" t="str">
        <f>表单2_清洗!Q9</f>
        <v>不同部位</v>
      </c>
      <c r="D9" t="str">
        <f>表单2_清洗!R9</f>
        <v>高钾</v>
      </c>
      <c r="E9" t="str">
        <f>表单2_清洗!T9</f>
        <v>无风化</v>
      </c>
      <c r="F9" s="27">
        <f>表单2_清洗!U9</f>
        <v>98.840000000000018</v>
      </c>
      <c r="G9" s="32">
        <f>表单2_清洗!W9</f>
        <v>3</v>
      </c>
      <c r="H9" s="28">
        <f>表单2_清洗!X9</f>
        <v>60.51193848644273</v>
      </c>
      <c r="I9" s="28">
        <f>表单2_清洗!Y9</f>
        <v>0</v>
      </c>
      <c r="J9" s="28">
        <f>表单2_清洗!Z9</f>
        <v>7.7701335491703745</v>
      </c>
      <c r="K9" s="28">
        <f>表单2_清洗!AA9</f>
        <v>5.4734925131525687</v>
      </c>
      <c r="L9" s="28">
        <f>表单2_清洗!AB9</f>
        <v>1.7503035208417641</v>
      </c>
      <c r="M9" s="28">
        <f>表单2_清洗!AC9</f>
        <v>10.16794819910967</v>
      </c>
      <c r="N9" s="28">
        <f>表单2_清洗!AD9</f>
        <v>6.1108862808579509</v>
      </c>
      <c r="O9" s="28">
        <f>表单2_清洗!AE9</f>
        <v>2.2055847834884661</v>
      </c>
      <c r="P9" s="28">
        <f>表单2_清洗!AF9</f>
        <v>0.35410764872521239</v>
      </c>
      <c r="Q9" s="28">
        <f>表单2_清洗!AG9</f>
        <v>0.98138405503844572</v>
      </c>
      <c r="R9" s="28">
        <f>表单2_清洗!AH9</f>
        <v>4.5528126264670163</v>
      </c>
      <c r="S9" s="28">
        <f>表单2_清洗!AI9</f>
        <v>0.1214083367057871</v>
      </c>
      <c r="T9" s="28">
        <f>表单2_清洗!AJ9</f>
        <v>0</v>
      </c>
      <c r="U9" s="28">
        <f>表单2_清洗!AK9</f>
        <v>0</v>
      </c>
      <c r="V9" s="28">
        <f>表单2_清洗!AL9</f>
        <v>100</v>
      </c>
    </row>
    <row r="10" spans="1:22">
      <c r="A10" s="26" t="s">
        <v>19</v>
      </c>
      <c r="B10" s="26" t="s">
        <v>19</v>
      </c>
      <c r="C10" t="str">
        <f>表单2_清洗!Q10</f>
        <v>普通采样点</v>
      </c>
      <c r="D10" t="str">
        <f>表单2_清洗!R10</f>
        <v>高钾</v>
      </c>
      <c r="E10" t="str">
        <f>表单2_清洗!T10</f>
        <v>风化</v>
      </c>
      <c r="F10" s="27">
        <f>表单2_清洗!U10</f>
        <v>99.699999999999989</v>
      </c>
      <c r="G10" s="32">
        <f>表单2_清洗!W10</f>
        <v>8</v>
      </c>
      <c r="H10" s="28">
        <f>表单2_清洗!X10</f>
        <v>92.908726178535616</v>
      </c>
      <c r="I10" s="28">
        <f>表单2_清洗!Y10</f>
        <v>0</v>
      </c>
      <c r="J10" s="28">
        <f>表单2_清洗!Z10</f>
        <v>0</v>
      </c>
      <c r="K10" s="28">
        <f>表单2_清洗!AA10</f>
        <v>1.0732196589769309</v>
      </c>
      <c r="L10" s="28">
        <f>表单2_清洗!AB10</f>
        <v>0</v>
      </c>
      <c r="M10" s="28">
        <f>表单2_清洗!AC10</f>
        <v>1.9859578736208627</v>
      </c>
      <c r="N10" s="28">
        <f>表单2_清洗!AD10</f>
        <v>0.17051153460381147</v>
      </c>
      <c r="O10" s="28">
        <f>表单2_清洗!AE10</f>
        <v>3.2497492477432304</v>
      </c>
      <c r="P10" s="28">
        <f>表单2_清洗!AF10</f>
        <v>0</v>
      </c>
      <c r="Q10" s="28">
        <f>表单2_清洗!AG10</f>
        <v>0</v>
      </c>
      <c r="R10" s="28">
        <f>表单2_清洗!AH10</f>
        <v>0.61183550651955876</v>
      </c>
      <c r="S10" s="28">
        <f>表单2_清洗!AI10</f>
        <v>0</v>
      </c>
      <c r="T10" s="28">
        <f>表单2_清洗!AJ10</f>
        <v>0</v>
      </c>
      <c r="U10" s="28">
        <f>表单2_清洗!AK10</f>
        <v>0</v>
      </c>
      <c r="V10" s="28">
        <f>表单2_清洗!AL10</f>
        <v>100</v>
      </c>
    </row>
    <row r="11" spans="1:22">
      <c r="A11" s="26" t="s">
        <v>21</v>
      </c>
      <c r="B11" s="26" t="s">
        <v>21</v>
      </c>
      <c r="C11" t="str">
        <f>表单2_清洗!Q11</f>
        <v>普通采样点</v>
      </c>
      <c r="D11" t="str">
        <f>表单2_清洗!R11</f>
        <v>铅钡</v>
      </c>
      <c r="E11" t="str">
        <f>表单2_清洗!T11</f>
        <v>风化</v>
      </c>
      <c r="F11" s="27">
        <f>表单2_清洗!U11</f>
        <v>99.820000000000007</v>
      </c>
      <c r="G11" s="32">
        <f>表单2_清洗!W11</f>
        <v>5</v>
      </c>
      <c r="H11" s="28">
        <f>表单2_清洗!X11</f>
        <v>20.176317371268283</v>
      </c>
      <c r="I11" s="28">
        <f>表单2_清洗!Y11</f>
        <v>0</v>
      </c>
      <c r="J11" s="28">
        <f>表单2_清洗!Z11</f>
        <v>0</v>
      </c>
      <c r="K11" s="28">
        <f>表单2_清洗!AA11</f>
        <v>1.4826688038469242</v>
      </c>
      <c r="L11" s="28">
        <f>表单2_清洗!AB11</f>
        <v>0</v>
      </c>
      <c r="M11" s="28">
        <f>表单2_清洗!AC11</f>
        <v>1.342416349428972</v>
      </c>
      <c r="N11" s="28">
        <f>表单2_清洗!AD11</f>
        <v>0</v>
      </c>
      <c r="O11" s="28">
        <f>表单2_清洗!AE11</f>
        <v>10.428771789220596</v>
      </c>
      <c r="P11" s="28">
        <f>表单2_清洗!AF11</f>
        <v>28.731717090763372</v>
      </c>
      <c r="Q11" s="28">
        <f>表单2_清洗!AG11</f>
        <v>31.286315367661789</v>
      </c>
      <c r="R11" s="28">
        <f>表单2_清洗!AH11</f>
        <v>3.5964736525746339</v>
      </c>
      <c r="S11" s="28">
        <f>表单2_清洗!AI11</f>
        <v>0.37066720096173106</v>
      </c>
      <c r="T11" s="28">
        <f>表单2_清洗!AJ11</f>
        <v>0</v>
      </c>
      <c r="U11" s="28">
        <f>表单2_清洗!AK11</f>
        <v>2.5846523742736922</v>
      </c>
      <c r="V11" s="28">
        <f>表单2_清洗!AL11</f>
        <v>99.999999999999986</v>
      </c>
    </row>
    <row r="12" spans="1:22">
      <c r="A12" s="26" t="s">
        <v>97</v>
      </c>
      <c r="B12" s="26" t="s">
        <v>21</v>
      </c>
      <c r="C12" t="str">
        <f>表单2_清洗!Q12</f>
        <v>严重风化点</v>
      </c>
      <c r="D12" t="str">
        <f>表单2_清洗!R12</f>
        <v>铅钡</v>
      </c>
      <c r="E12" t="str">
        <f>表单2_清洗!T12</f>
        <v>风化</v>
      </c>
      <c r="F12" s="27">
        <f>表单2_清洗!U12</f>
        <v>98.240000000000009</v>
      </c>
      <c r="G12" s="32">
        <f>表单2_清洗!W12</f>
        <v>5</v>
      </c>
      <c r="H12" s="28">
        <f>表单2_清洗!X12</f>
        <v>4.6925895765472312</v>
      </c>
      <c r="I12" s="28">
        <f>表单2_清洗!Y12</f>
        <v>0</v>
      </c>
      <c r="J12" s="28">
        <f>表单2_清洗!Z12</f>
        <v>0</v>
      </c>
      <c r="K12" s="28">
        <f>表单2_清洗!AA12</f>
        <v>3.2471498371335499</v>
      </c>
      <c r="L12" s="28">
        <f>表单2_清洗!AB12</f>
        <v>0</v>
      </c>
      <c r="M12" s="28">
        <f>表单2_清洗!AC12</f>
        <v>1.129885993485342</v>
      </c>
      <c r="N12" s="28">
        <f>表单2_清洗!AD12</f>
        <v>0</v>
      </c>
      <c r="O12" s="28">
        <f>表单2_清洗!AE12</f>
        <v>3.196254071661238</v>
      </c>
      <c r="P12" s="28">
        <f>表单2_清洗!AF12</f>
        <v>33.031351791530945</v>
      </c>
      <c r="Q12" s="28">
        <f>表单2_清洗!AG12</f>
        <v>31.168566775244301</v>
      </c>
      <c r="R12" s="28">
        <f>表单2_清洗!AH12</f>
        <v>7.69543973941368</v>
      </c>
      <c r="S12" s="28">
        <f>表单2_清洗!AI12</f>
        <v>0.53949511400651462</v>
      </c>
      <c r="T12" s="28">
        <f>表单2_清洗!AJ12</f>
        <v>0</v>
      </c>
      <c r="U12" s="28">
        <f>表单2_清洗!AK12</f>
        <v>15.299267100977195</v>
      </c>
      <c r="V12" s="28">
        <f>表单2_清洗!AL12</f>
        <v>100</v>
      </c>
    </row>
    <row r="13" spans="1:22">
      <c r="A13" s="26" t="s">
        <v>23</v>
      </c>
      <c r="B13" s="26" t="s">
        <v>23</v>
      </c>
      <c r="C13" t="str">
        <f>表单2_清洗!Q13</f>
        <v>普通采样点</v>
      </c>
      <c r="D13" t="str">
        <f>表单2_清洗!R13</f>
        <v>高钾</v>
      </c>
      <c r="E13" t="str">
        <f>表单2_清洗!T13</f>
        <v>风化</v>
      </c>
      <c r="F13" s="27">
        <f>表单2_清洗!U13</f>
        <v>99.769999999999982</v>
      </c>
      <c r="G13" s="32">
        <f>表单2_清洗!W13</f>
        <v>7</v>
      </c>
      <c r="H13" s="28">
        <f>表单2_清洗!X13</f>
        <v>95.239049814573534</v>
      </c>
      <c r="I13" s="28">
        <f>表单2_清洗!Y13</f>
        <v>0</v>
      </c>
      <c r="J13" s="28">
        <f>表单2_清洗!Z13</f>
        <v>0.59136012829507878</v>
      </c>
      <c r="K13" s="28">
        <f>表单2_清洗!AA13</f>
        <v>0.62142928736093028</v>
      </c>
      <c r="L13" s="28">
        <f>表单2_清洗!AB13</f>
        <v>0</v>
      </c>
      <c r="M13" s="28">
        <f>表单2_清洗!AC13</f>
        <v>1.3230429988974646</v>
      </c>
      <c r="N13" s="28">
        <f>表单2_清洗!AD13</f>
        <v>0.32073769670241559</v>
      </c>
      <c r="O13" s="28">
        <f>表单2_清洗!AE13</f>
        <v>1.5535732184023257</v>
      </c>
      <c r="P13" s="28">
        <f>表单2_清洗!AF13</f>
        <v>0</v>
      </c>
      <c r="Q13" s="28">
        <f>表单2_清洗!AG13</f>
        <v>0</v>
      </c>
      <c r="R13" s="28">
        <f>表单2_清洗!AH13</f>
        <v>0.35080685576826703</v>
      </c>
      <c r="S13" s="28">
        <f>表单2_清洗!AI13</f>
        <v>0</v>
      </c>
      <c r="T13" s="28">
        <f>表单2_清洗!AJ13</f>
        <v>0</v>
      </c>
      <c r="U13" s="28">
        <f>表单2_清洗!AK13</f>
        <v>0</v>
      </c>
      <c r="V13" s="28">
        <f>表单2_清洗!AL13</f>
        <v>100</v>
      </c>
    </row>
    <row r="14" spans="1:22">
      <c r="A14" s="26" t="s">
        <v>24</v>
      </c>
      <c r="B14" s="26" t="s">
        <v>24</v>
      </c>
      <c r="C14" t="str">
        <f>表单2_清洗!Q14</f>
        <v>普通采样点</v>
      </c>
      <c r="D14" t="str">
        <f>表单2_清洗!R14</f>
        <v>高钾</v>
      </c>
      <c r="E14" t="str">
        <f>表单2_清洗!T14</f>
        <v>风化</v>
      </c>
      <c r="F14" s="27">
        <f>表单2_清洗!U14</f>
        <v>99.81</v>
      </c>
      <c r="G14" s="32">
        <f>表单2_清洗!W14</f>
        <v>8</v>
      </c>
      <c r="H14" s="28">
        <f>表单2_清洗!X14</f>
        <v>96.954213004708947</v>
      </c>
      <c r="I14" s="28">
        <f>表单2_清洗!Y14</f>
        <v>0</v>
      </c>
      <c r="J14" s="28">
        <f>表单2_清洗!Z14</f>
        <v>0.92175132752229239</v>
      </c>
      <c r="K14" s="28">
        <f>表单2_清洗!AA14</f>
        <v>0.21039975954313195</v>
      </c>
      <c r="L14" s="28">
        <f>表单2_清洗!AB14</f>
        <v>0</v>
      </c>
      <c r="M14" s="28">
        <f>表单2_清洗!AC14</f>
        <v>0.81154192966636607</v>
      </c>
      <c r="N14" s="28">
        <f>表单2_清洗!AD14</f>
        <v>0.26049494038673482</v>
      </c>
      <c r="O14" s="28">
        <f>表单2_清洗!AE14</f>
        <v>0.84159903817252779</v>
      </c>
      <c r="P14" s="28">
        <f>表单2_清洗!AF14</f>
        <v>0</v>
      </c>
      <c r="Q14" s="28">
        <f>表单2_清洗!AG14</f>
        <v>0</v>
      </c>
      <c r="R14" s="28">
        <f>表单2_清洗!AH14</f>
        <v>0</v>
      </c>
      <c r="S14" s="28">
        <f>表单2_清洗!AI14</f>
        <v>0</v>
      </c>
      <c r="T14" s="28">
        <f>表单2_清洗!AJ14</f>
        <v>0</v>
      </c>
      <c r="U14" s="28">
        <f>表单2_清洗!AK14</f>
        <v>0</v>
      </c>
      <c r="V14" s="28">
        <f>表单2_清洗!AL14</f>
        <v>100</v>
      </c>
    </row>
    <row r="15" spans="1:22">
      <c r="A15" s="26" t="s">
        <v>25</v>
      </c>
      <c r="B15" s="26" t="s">
        <v>25</v>
      </c>
      <c r="C15" t="str">
        <f>表单2_清洗!Q15</f>
        <v>普通采样点</v>
      </c>
      <c r="D15" t="str">
        <f>表单2_清洗!R15</f>
        <v>铅钡</v>
      </c>
      <c r="E15" t="str">
        <f>表单2_清洗!T15</f>
        <v>风化</v>
      </c>
      <c r="F15" s="27">
        <f>表单2_清洗!U15</f>
        <v>95.39</v>
      </c>
      <c r="G15" s="32">
        <f>表单2_清洗!W15</f>
        <v>4</v>
      </c>
      <c r="H15" s="28">
        <f>表单2_清洗!X15</f>
        <v>35.213334731103892</v>
      </c>
      <c r="I15" s="28">
        <f>表单2_清洗!Y15</f>
        <v>0</v>
      </c>
      <c r="J15" s="28">
        <f>表单2_清洗!Z15</f>
        <v>0.22014886256421007</v>
      </c>
      <c r="K15" s="28">
        <f>表单2_清洗!AA15</f>
        <v>3.6796309885732259</v>
      </c>
      <c r="L15" s="28">
        <f>表单2_清洗!AB15</f>
        <v>0.74431282105042451</v>
      </c>
      <c r="M15" s="28">
        <f>表单2_清洗!AC15</f>
        <v>2.8200020966558341</v>
      </c>
      <c r="N15" s="28">
        <f>表单2_清洗!AD15</f>
        <v>0</v>
      </c>
      <c r="O15" s="28">
        <f>表单2_清洗!AE15</f>
        <v>5.1682566306740743</v>
      </c>
      <c r="P15" s="28">
        <f>表单2_清洗!AF15</f>
        <v>26.617045811929973</v>
      </c>
      <c r="Q15" s="28">
        <f>表单2_清洗!AG15</f>
        <v>15.316070866967188</v>
      </c>
      <c r="R15" s="28">
        <f>表单2_清洗!AH15</f>
        <v>9.8333158612013847</v>
      </c>
      <c r="S15" s="28">
        <f>表单2_清洗!AI15</f>
        <v>0.38788132927979874</v>
      </c>
      <c r="T15" s="28">
        <f>表单2_清洗!AJ15</f>
        <v>0</v>
      </c>
      <c r="U15" s="28">
        <f>表单2_清洗!AK15</f>
        <v>0</v>
      </c>
      <c r="V15" s="28">
        <f>表单2_清洗!AL15</f>
        <v>100</v>
      </c>
    </row>
    <row r="16" spans="1:22">
      <c r="A16" s="26" t="s">
        <v>26</v>
      </c>
      <c r="B16" s="26" t="s">
        <v>26</v>
      </c>
      <c r="C16" t="str">
        <f>表单2_清洗!Q16</f>
        <v>普通采样点</v>
      </c>
      <c r="D16" t="str">
        <f>表单2_清洗!R16</f>
        <v>高钾</v>
      </c>
      <c r="E16" t="str">
        <f>表单2_清洗!T16</f>
        <v>风化</v>
      </c>
      <c r="F16" s="27">
        <f>表单2_清洗!U16</f>
        <v>99.570000000000022</v>
      </c>
      <c r="G16" s="32">
        <f>表单2_清洗!W16</f>
        <v>7</v>
      </c>
      <c r="H16" s="28">
        <f>表单2_清洗!X16</f>
        <v>94.697197951190105</v>
      </c>
      <c r="I16" s="28">
        <f>表单2_清洗!Y16</f>
        <v>0</v>
      </c>
      <c r="J16" s="28">
        <f>表单2_清洗!Z16</f>
        <v>1.0143617555488598</v>
      </c>
      <c r="K16" s="28">
        <f>表单2_清洗!AA16</f>
        <v>0.72310937029225653</v>
      </c>
      <c r="L16" s="28">
        <f>表单2_清洗!AB16</f>
        <v>0</v>
      </c>
      <c r="M16" s="28">
        <f>表单2_清洗!AC16</f>
        <v>1.46630511198152</v>
      </c>
      <c r="N16" s="28">
        <f>表单2_清洗!AD16</f>
        <v>0.2912523852566033</v>
      </c>
      <c r="O16" s="28">
        <f>表单2_清洗!AE16</f>
        <v>1.6571256402530881</v>
      </c>
      <c r="P16" s="28">
        <f>表单2_清洗!AF16</f>
        <v>0</v>
      </c>
      <c r="Q16" s="28">
        <f>表单2_清洗!AG16</f>
        <v>0</v>
      </c>
      <c r="R16" s="28">
        <f>表单2_清洗!AH16</f>
        <v>0.15064778547755345</v>
      </c>
      <c r="S16" s="28">
        <f>表单2_清洗!AI16</f>
        <v>0</v>
      </c>
      <c r="T16" s="28">
        <f>表单2_清洗!AJ16</f>
        <v>0</v>
      </c>
      <c r="U16" s="28">
        <f>表单2_清洗!AK16</f>
        <v>0</v>
      </c>
      <c r="V16" s="28">
        <f>表单2_清洗!AL16</f>
        <v>100</v>
      </c>
    </row>
    <row r="17" spans="1:22">
      <c r="A17" s="26" t="s">
        <v>27</v>
      </c>
      <c r="B17" s="26" t="s">
        <v>27</v>
      </c>
      <c r="C17" t="str">
        <f>表单2_清洗!Q17</f>
        <v>普通采样点</v>
      </c>
      <c r="D17" t="str">
        <f>表单2_清洗!R17</f>
        <v>高钾</v>
      </c>
      <c r="E17" t="str">
        <f>表单2_清洗!T17</f>
        <v>无风化</v>
      </c>
      <c r="F17" s="27">
        <f>表单2_清洗!U17</f>
        <v>98.139999999999986</v>
      </c>
      <c r="G17" s="32">
        <f>表单2_清洗!W17</f>
        <v>6</v>
      </c>
      <c r="H17" s="28">
        <f>表单2_清洗!X17</f>
        <v>60.128388017118404</v>
      </c>
      <c r="I17" s="28">
        <f>表单2_清洗!Y17</f>
        <v>2.9142041980843696</v>
      </c>
      <c r="J17" s="28">
        <f>表单2_清洗!Z17</f>
        <v>12.76747503566334</v>
      </c>
      <c r="K17" s="28">
        <f>表单2_清洗!AA17</f>
        <v>8.8648868962706331</v>
      </c>
      <c r="L17" s="28">
        <f>表单2_清洗!AB17</f>
        <v>0</v>
      </c>
      <c r="M17" s="28">
        <f>表单2_清洗!AC17</f>
        <v>6.2767475035663347</v>
      </c>
      <c r="N17" s="28">
        <f>表单2_清洗!AD17</f>
        <v>2.934583248420624</v>
      </c>
      <c r="O17" s="28">
        <f>表单2_清洗!AE17</f>
        <v>4.8196454045241506</v>
      </c>
      <c r="P17" s="28">
        <f>表单2_清洗!AF17</f>
        <v>0</v>
      </c>
      <c r="Q17" s="28">
        <f>表单2_清洗!AG17</f>
        <v>0</v>
      </c>
      <c r="R17" s="28">
        <f>表单2_清洗!AH17</f>
        <v>1.2940696963521503</v>
      </c>
      <c r="S17" s="28">
        <f>表单2_清洗!AI17</f>
        <v>0</v>
      </c>
      <c r="T17" s="28">
        <f>表单2_清洗!AJ17</f>
        <v>0</v>
      </c>
      <c r="U17" s="28">
        <f>表单2_清洗!AK17</f>
        <v>0</v>
      </c>
      <c r="V17" s="28">
        <f>表单2_清洗!AL17</f>
        <v>100.00000000000001</v>
      </c>
    </row>
    <row r="18" spans="1:22">
      <c r="A18" s="26" t="s">
        <v>28</v>
      </c>
      <c r="B18" s="26" t="s">
        <v>28</v>
      </c>
      <c r="C18" t="str">
        <f>表单2_清洗!Q18</f>
        <v>普通采样点</v>
      </c>
      <c r="D18" t="str">
        <f>表单2_清洗!R18</f>
        <v>高钾</v>
      </c>
      <c r="E18" t="str">
        <f>表单2_清洗!T18</f>
        <v>无风化</v>
      </c>
      <c r="F18" s="27">
        <f>表单2_清洗!U18</f>
        <v>99</v>
      </c>
      <c r="G18" s="32">
        <f>表单2_清洗!W18</f>
        <v>4</v>
      </c>
      <c r="H18" s="28">
        <f>表单2_清洗!X18</f>
        <v>63.101010101010104</v>
      </c>
      <c r="I18" s="28">
        <f>表单2_清洗!Y18</f>
        <v>3.4141414141414139</v>
      </c>
      <c r="J18" s="28">
        <f>表单2_清洗!Z18</f>
        <v>12.404040404040403</v>
      </c>
      <c r="K18" s="28">
        <f>表单2_清洗!AA18</f>
        <v>8.3131313131313131</v>
      </c>
      <c r="L18" s="28">
        <f>表单2_清洗!AB18</f>
        <v>0.66666666666666674</v>
      </c>
      <c r="M18" s="28">
        <f>表单2_清洗!AC18</f>
        <v>9.3232323232323235</v>
      </c>
      <c r="N18" s="28">
        <f>表单2_清洗!AD18</f>
        <v>0.50505050505050508</v>
      </c>
      <c r="O18" s="28">
        <f>表单2_清洗!AE18</f>
        <v>0.4747474747474747</v>
      </c>
      <c r="P18" s="28">
        <f>表单2_清洗!AF18</f>
        <v>1.6363636363636365</v>
      </c>
      <c r="Q18" s="28">
        <f>表单2_清洗!AG18</f>
        <v>0</v>
      </c>
      <c r="R18" s="28">
        <f>表单2_清洗!AH18</f>
        <v>0.1616161616161616</v>
      </c>
      <c r="S18" s="28">
        <f>表单2_清洗!AI18</f>
        <v>0</v>
      </c>
      <c r="T18" s="28">
        <f>表单2_清洗!AJ18</f>
        <v>0</v>
      </c>
      <c r="U18" s="28">
        <f>表单2_清洗!AK18</f>
        <v>0</v>
      </c>
      <c r="V18" s="28">
        <f>表单2_清洗!AL18</f>
        <v>100</v>
      </c>
    </row>
    <row r="19" spans="1:22">
      <c r="A19" s="26" t="s">
        <v>31</v>
      </c>
      <c r="B19" s="26" t="s">
        <v>31</v>
      </c>
      <c r="C19" t="str">
        <f>表单2_清洗!Q20</f>
        <v>普通采样点</v>
      </c>
      <c r="D19" t="str">
        <f>表单2_清洗!R20</f>
        <v>高钾</v>
      </c>
      <c r="E19" t="str">
        <f>表单2_清洗!T20</f>
        <v>无风化</v>
      </c>
      <c r="F19" s="27">
        <f>表单2_清洗!U20</f>
        <v>98.409999999999982</v>
      </c>
      <c r="G19" s="32">
        <f>表单2_清洗!W20</f>
        <v>4</v>
      </c>
      <c r="H19" s="28">
        <f>表单2_清洗!X20</f>
        <v>66.23310639162689</v>
      </c>
      <c r="I19" s="28">
        <f>表单2_清洗!Y20</f>
        <v>2.1339294787115137</v>
      </c>
      <c r="J19" s="28">
        <f>表单2_清洗!Z20</f>
        <v>14.754598109948178</v>
      </c>
      <c r="K19" s="28">
        <f>表单2_清洗!AA20</f>
        <v>8.4036175185448645</v>
      </c>
      <c r="L19" s="28">
        <f>表单2_清洗!AB20</f>
        <v>0.52840158520475566</v>
      </c>
      <c r="M19" s="28">
        <f>表单2_清洗!AC20</f>
        <v>6.2798496087795961</v>
      </c>
      <c r="N19" s="28">
        <f>表单2_清洗!AD20</f>
        <v>0.42678589574230263</v>
      </c>
      <c r="O19" s="28">
        <f>表单2_清洗!AE20</f>
        <v>1.0872878772482475</v>
      </c>
      <c r="P19" s="28">
        <f>表单2_清洗!AF20</f>
        <v>0.11177725840869832</v>
      </c>
      <c r="Q19" s="28">
        <f>表单2_清洗!AG20</f>
        <v>0</v>
      </c>
      <c r="R19" s="28">
        <f>表单2_清洗!AH20</f>
        <v>0</v>
      </c>
      <c r="S19" s="28">
        <f>表单2_清洗!AI20</f>
        <v>4.0646275784981208E-2</v>
      </c>
      <c r="T19" s="28">
        <f>表单2_清洗!AJ20</f>
        <v>0</v>
      </c>
      <c r="U19" s="28">
        <f>表单2_清洗!AK20</f>
        <v>0</v>
      </c>
      <c r="V19" s="28">
        <f>表单2_清洗!AL20</f>
        <v>100.00000000000001</v>
      </c>
    </row>
    <row r="20" spans="1:22">
      <c r="A20" s="26" t="s">
        <v>33</v>
      </c>
      <c r="B20" s="26" t="s">
        <v>33</v>
      </c>
      <c r="C20" t="str">
        <f>表单2_清洗!Q22</f>
        <v>普通采样点</v>
      </c>
      <c r="D20" t="str">
        <f>表单2_清洗!R22</f>
        <v>高钾</v>
      </c>
      <c r="E20" t="str">
        <f>表单2_清洗!T22</f>
        <v>无风化</v>
      </c>
      <c r="F20" s="27">
        <f>表单2_清洗!U22</f>
        <v>97.249999999999986</v>
      </c>
      <c r="G20" s="32">
        <f>表单2_清洗!W22</f>
        <v>7</v>
      </c>
      <c r="H20" s="28">
        <f>表单2_清洗!X22</f>
        <v>81.706940874035993</v>
      </c>
      <c r="I20" s="28">
        <f>表单2_清洗!Y22</f>
        <v>0</v>
      </c>
      <c r="J20" s="28">
        <f>表单2_清洗!Z22</f>
        <v>9.6863753213367634</v>
      </c>
      <c r="K20" s="28">
        <f>表单2_清洗!AA22</f>
        <v>0</v>
      </c>
      <c r="L20" s="28">
        <f>表单2_清洗!AB22</f>
        <v>1.5732647814910028</v>
      </c>
      <c r="M20" s="28">
        <f>表单2_清洗!AC22</f>
        <v>3.1362467866323915</v>
      </c>
      <c r="N20" s="28">
        <f>表单2_清洗!AD22</f>
        <v>0</v>
      </c>
      <c r="O20" s="28">
        <f>表单2_清洗!AE22</f>
        <v>0</v>
      </c>
      <c r="P20" s="28">
        <f>表单2_清洗!AF22</f>
        <v>0</v>
      </c>
      <c r="Q20" s="28">
        <f>表单2_清洗!AG22</f>
        <v>0</v>
      </c>
      <c r="R20" s="28">
        <f>表单2_清洗!AH22</f>
        <v>1.3984575835475581</v>
      </c>
      <c r="S20" s="28">
        <f>表单2_清洗!AI22</f>
        <v>7.1979434447300789E-2</v>
      </c>
      <c r="T20" s="28">
        <f>表单2_清洗!AJ22</f>
        <v>2.4267352185089979</v>
      </c>
      <c r="U20" s="28">
        <f>表单2_清洗!AK22</f>
        <v>0</v>
      </c>
      <c r="V20" s="28">
        <f>表单2_清洗!AL22</f>
        <v>100.00000000000001</v>
      </c>
    </row>
    <row r="21" spans="1:22">
      <c r="A21" s="26" t="s">
        <v>35</v>
      </c>
      <c r="B21" s="26" t="s">
        <v>35</v>
      </c>
      <c r="C21" t="str">
        <f>表单2_清洗!Q23</f>
        <v>普通采样点</v>
      </c>
      <c r="D21" t="str">
        <f>表单2_清洗!R23</f>
        <v>铅钡</v>
      </c>
      <c r="E21" t="str">
        <f>表单2_清洗!T23</f>
        <v>风化</v>
      </c>
      <c r="F21" s="27">
        <f>表单2_清洗!U23</f>
        <v>98.759999999999991</v>
      </c>
      <c r="G21" s="32">
        <f>表单2_清洗!W23</f>
        <v>4</v>
      </c>
      <c r="H21" s="28">
        <f>表单2_清洗!X23</f>
        <v>30.012150668286758</v>
      </c>
      <c r="I21" s="28">
        <f>表单2_清洗!Y23</f>
        <v>0</v>
      </c>
      <c r="J21" s="28">
        <f>表单2_清洗!Z23</f>
        <v>0</v>
      </c>
      <c r="K21" s="28">
        <f>表单2_清洗!AA23</f>
        <v>2.9667881733495349</v>
      </c>
      <c r="L21" s="28">
        <f>表单2_清洗!AB23</f>
        <v>0.59740785743215874</v>
      </c>
      <c r="M21" s="28">
        <f>表单2_清洗!AC23</f>
        <v>3.6148238153098422</v>
      </c>
      <c r="N21" s="28">
        <f>表单2_清洗!AD23</f>
        <v>1.346699068448765</v>
      </c>
      <c r="O21" s="28">
        <f>表单2_清洗!AE23</f>
        <v>3.5540704738760636</v>
      </c>
      <c r="P21" s="28">
        <f>表单2_清洗!AF23</f>
        <v>43.357634669906844</v>
      </c>
      <c r="Q21" s="28">
        <f>表单2_清洗!AG23</f>
        <v>5.4171729445119485</v>
      </c>
      <c r="R21" s="28">
        <f>表单2_清洗!AH23</f>
        <v>8.940866747671123</v>
      </c>
      <c r="S21" s="28">
        <f>表单2_清洗!AI23</f>
        <v>0.19238558120696642</v>
      </c>
      <c r="T21" s="28">
        <f>表单2_清洗!AJ23</f>
        <v>0</v>
      </c>
      <c r="U21" s="28">
        <f>表单2_清洗!AK23</f>
        <v>0</v>
      </c>
      <c r="V21" s="28">
        <f>表单2_清洗!AL23</f>
        <v>100</v>
      </c>
    </row>
    <row r="22" spans="1:22">
      <c r="A22" s="26" t="s">
        <v>36</v>
      </c>
      <c r="B22" s="26" t="s">
        <v>36</v>
      </c>
      <c r="C22" t="str">
        <f>表单2_清洗!Q24</f>
        <v>普通采样点</v>
      </c>
      <c r="D22" t="str">
        <f>表单2_清洗!R24</f>
        <v>铅钡</v>
      </c>
      <c r="E22" t="str">
        <f>表单2_清洗!T24</f>
        <v>无风化</v>
      </c>
      <c r="F22" s="27">
        <f>表单2_清洗!U24</f>
        <v>88.41</v>
      </c>
      <c r="G22" s="32">
        <f>表单2_清洗!W24</f>
        <v>6</v>
      </c>
      <c r="H22" s="28">
        <f>表单2_清洗!X24</f>
        <v>42.257663160275989</v>
      </c>
      <c r="I22" s="28">
        <f>表单2_清洗!Y24</f>
        <v>0</v>
      </c>
      <c r="J22" s="28">
        <f>表单2_清洗!Z24</f>
        <v>0.80307657504807151</v>
      </c>
      <c r="K22" s="28">
        <f>表单2_清洗!AA24</f>
        <v>0</v>
      </c>
      <c r="L22" s="28">
        <f>表单2_清洗!AB24</f>
        <v>0</v>
      </c>
      <c r="M22" s="28">
        <f>表单2_清洗!AC24</f>
        <v>6.1644610338197046</v>
      </c>
      <c r="N22" s="28">
        <f>表单2_清洗!AD24</f>
        <v>1.7079515891867438</v>
      </c>
      <c r="O22" s="28">
        <f>表单2_清洗!AE24</f>
        <v>5.4066282094785665</v>
      </c>
      <c r="P22" s="28">
        <f>表单2_清洗!AF24</f>
        <v>10.519172039362063</v>
      </c>
      <c r="Q22" s="28">
        <f>表单2_清洗!AG24</f>
        <v>26.637258228707161</v>
      </c>
      <c r="R22" s="28">
        <f>表单2_清洗!AH24</f>
        <v>6.5037891641217067</v>
      </c>
      <c r="S22" s="28">
        <f>表单2_清洗!AI24</f>
        <v>0</v>
      </c>
      <c r="T22" s="28">
        <f>表单2_清洗!AJ24</f>
        <v>0</v>
      </c>
      <c r="U22" s="28">
        <f>表单2_清洗!AK24</f>
        <v>0</v>
      </c>
      <c r="V22" s="28">
        <f>表单2_清洗!AL24</f>
        <v>100.00000000000003</v>
      </c>
    </row>
    <row r="23" spans="1:22">
      <c r="A23" s="26" t="s">
        <v>37</v>
      </c>
      <c r="B23" s="26" t="s">
        <v>37</v>
      </c>
      <c r="C23" t="str">
        <f>表单2_清洗!Q25</f>
        <v>普通采样点</v>
      </c>
      <c r="D23" t="str">
        <f>表单2_清洗!R25</f>
        <v>高钾</v>
      </c>
      <c r="E23" t="str">
        <f>表单2_清洗!T25</f>
        <v>无风化</v>
      </c>
      <c r="F23" s="27">
        <f>表单2_清洗!U25</f>
        <v>98.52</v>
      </c>
      <c r="G23" s="32">
        <f>表单2_清洗!W25</f>
        <v>5</v>
      </c>
      <c r="H23" s="28">
        <f>表单2_清洗!X25</f>
        <v>77.831912302070663</v>
      </c>
      <c r="I23" s="28">
        <f>表单2_清洗!Y25</f>
        <v>0</v>
      </c>
      <c r="J23" s="28">
        <f>表单2_清洗!Z25</f>
        <v>0</v>
      </c>
      <c r="K23" s="28">
        <f>表单2_清洗!AA25</f>
        <v>4.7807551766138854</v>
      </c>
      <c r="L23" s="28">
        <f>表单2_清洗!AB25</f>
        <v>1.2383272431993504</v>
      </c>
      <c r="M23" s="28">
        <f>表单2_清洗!AC25</f>
        <v>6.2829882257409668</v>
      </c>
      <c r="N23" s="28">
        <f>表单2_清洗!AD25</f>
        <v>2.4056029232643121</v>
      </c>
      <c r="O23" s="28">
        <f>表单2_清洗!AE25</f>
        <v>3.3292732440113681</v>
      </c>
      <c r="P23" s="28">
        <f>表单2_清洗!AF25</f>
        <v>1.0150223304912709</v>
      </c>
      <c r="Q23" s="28">
        <f>表单2_清洗!AG25</f>
        <v>1.9995939910678033</v>
      </c>
      <c r="R23" s="28">
        <f>表单2_清洗!AH25</f>
        <v>1.116524563540398</v>
      </c>
      <c r="S23" s="28">
        <f>表单2_清洗!AI25</f>
        <v>0</v>
      </c>
      <c r="T23" s="28">
        <f>表单2_清洗!AJ25</f>
        <v>0</v>
      </c>
      <c r="U23" s="28">
        <f>表单2_清洗!AK25</f>
        <v>0</v>
      </c>
      <c r="V23" s="28">
        <f>表单2_清洗!AL25</f>
        <v>100.00000000000001</v>
      </c>
    </row>
    <row r="24" spans="1:22">
      <c r="A24" s="26" t="s">
        <v>38</v>
      </c>
      <c r="B24" s="26" t="s">
        <v>38</v>
      </c>
      <c r="C24" t="str">
        <f>表单2_清洗!Q26</f>
        <v>普通采样点</v>
      </c>
      <c r="D24" t="str">
        <f>表单2_清洗!R26</f>
        <v>高钾</v>
      </c>
      <c r="E24" t="str">
        <f>表单2_清洗!T26</f>
        <v>风化</v>
      </c>
      <c r="F24" s="27">
        <f>表单2_清洗!U26</f>
        <v>99.999999999999972</v>
      </c>
      <c r="G24" s="32">
        <f>表单2_清洗!W26</f>
        <v>6</v>
      </c>
      <c r="H24" s="28">
        <f>表单2_清洗!X26</f>
        <v>92.350000000000023</v>
      </c>
      <c r="I24" s="28">
        <f>表单2_清洗!Y26</f>
        <v>0</v>
      </c>
      <c r="J24" s="28">
        <f>表单2_清洗!Z26</f>
        <v>0.74000000000000021</v>
      </c>
      <c r="K24" s="28">
        <f>表单2_清洗!AA26</f>
        <v>1.6600000000000004</v>
      </c>
      <c r="L24" s="28">
        <f>表单2_清洗!AB26</f>
        <v>0.64000000000000024</v>
      </c>
      <c r="M24" s="28">
        <f>表单2_清洗!AC26</f>
        <v>3.5000000000000009</v>
      </c>
      <c r="N24" s="28">
        <f>表单2_清洗!AD26</f>
        <v>0.35000000000000009</v>
      </c>
      <c r="O24" s="28">
        <f>表单2_清洗!AE26</f>
        <v>0.55000000000000027</v>
      </c>
      <c r="P24" s="28">
        <f>表单2_清洗!AF26</f>
        <v>0</v>
      </c>
      <c r="Q24" s="28">
        <f>表单2_清洗!AG26</f>
        <v>0</v>
      </c>
      <c r="R24" s="28">
        <f>表单2_清洗!AH26</f>
        <v>0.21000000000000002</v>
      </c>
      <c r="S24" s="28">
        <f>表单2_清洗!AI26</f>
        <v>0</v>
      </c>
      <c r="T24" s="28">
        <f>表单2_清洗!AJ26</f>
        <v>0</v>
      </c>
      <c r="U24" s="28">
        <f>表单2_清洗!AK26</f>
        <v>0</v>
      </c>
      <c r="V24" s="28">
        <f>表单2_清洗!AL26</f>
        <v>100</v>
      </c>
    </row>
    <row r="25" spans="1:22">
      <c r="A25" s="26" t="s">
        <v>98</v>
      </c>
      <c r="B25" s="26" t="s">
        <v>39</v>
      </c>
      <c r="C25" t="str">
        <f>表单2_清洗!Q27</f>
        <v>未风化点</v>
      </c>
      <c r="D25" t="str">
        <f>表单2_清洗!R27</f>
        <v>铅钡</v>
      </c>
      <c r="E25" t="str">
        <f>表单2_清洗!T27</f>
        <v>无风化</v>
      </c>
      <c r="F25" s="27">
        <f>表单2_清洗!U27</f>
        <v>96.5</v>
      </c>
      <c r="G25" s="32">
        <f>表单2_清洗!W27</f>
        <v>5</v>
      </c>
      <c r="H25" s="28">
        <f>表单2_清洗!X27</f>
        <v>55.740932642487053</v>
      </c>
      <c r="I25" s="28">
        <f>表单2_清洗!Y27</f>
        <v>8.2072538860103634</v>
      </c>
      <c r="J25" s="28">
        <f>表单2_清洗!Z27</f>
        <v>0</v>
      </c>
      <c r="K25" s="28">
        <f>表单2_清洗!AA27</f>
        <v>0.5181347150259068</v>
      </c>
      <c r="L25" s="28">
        <f>表单2_清洗!AB27</f>
        <v>0.73575129533678751</v>
      </c>
      <c r="M25" s="28">
        <f>表单2_清洗!AC27</f>
        <v>1.471502590673575</v>
      </c>
      <c r="N25" s="28">
        <f>表单2_清洗!AD27</f>
        <v>0</v>
      </c>
      <c r="O25" s="28">
        <f>表单2_清洗!AE27</f>
        <v>3.0984455958549222</v>
      </c>
      <c r="P25" s="28">
        <f>表单2_清洗!AF27</f>
        <v>17.595854922279795</v>
      </c>
      <c r="Q25" s="28">
        <f>表单2_清洗!AG27</f>
        <v>12.290155440414507</v>
      </c>
      <c r="R25" s="28">
        <f>表单2_清洗!AH27</f>
        <v>0</v>
      </c>
      <c r="S25" s="28">
        <f>表单2_清洗!AI27</f>
        <v>0.34196891191709849</v>
      </c>
      <c r="T25" s="28">
        <f>表单2_清洗!AJ27</f>
        <v>0</v>
      </c>
      <c r="U25" s="28">
        <f>表单2_清洗!AK27</f>
        <v>0</v>
      </c>
      <c r="V25" s="28">
        <f>表单2_清洗!AL27</f>
        <v>100.00000000000001</v>
      </c>
    </row>
    <row r="26" spans="1:22">
      <c r="A26" s="26" t="s">
        <v>40</v>
      </c>
      <c r="B26" s="26" t="s">
        <v>40</v>
      </c>
      <c r="C26" t="str">
        <f>表单2_清洗!Q28</f>
        <v>普通采样点</v>
      </c>
      <c r="D26" t="str">
        <f>表单2_清洗!R28</f>
        <v>铅钡</v>
      </c>
      <c r="E26" t="str">
        <f>表单2_清洗!T28</f>
        <v>无风化</v>
      </c>
      <c r="F26" s="27">
        <f>表单2_清洗!U28</f>
        <v>98.88000000000001</v>
      </c>
      <c r="G26" s="32">
        <f>表单2_清洗!W28</f>
        <v>6</v>
      </c>
      <c r="H26" s="28">
        <f>表单2_清洗!X28</f>
        <v>32.301779935275079</v>
      </c>
      <c r="I26" s="28">
        <f>表单2_清洗!Y28</f>
        <v>0</v>
      </c>
      <c r="J26" s="28">
        <f>表单2_清洗!Z28</f>
        <v>0</v>
      </c>
      <c r="K26" s="28">
        <f>表单2_清洗!AA28</f>
        <v>0.47532362459546917</v>
      </c>
      <c r="L26" s="28">
        <f>表单2_清洗!AB28</f>
        <v>0</v>
      </c>
      <c r="M26" s="28">
        <f>表单2_清洗!AC28</f>
        <v>1.608009708737864</v>
      </c>
      <c r="N26" s="28">
        <f>表单2_清洗!AD28</f>
        <v>0</v>
      </c>
      <c r="O26" s="28">
        <f>表单2_清洗!AE28</f>
        <v>8.5558252427184467</v>
      </c>
      <c r="P26" s="28">
        <f>表单2_清洗!AF28</f>
        <v>29.470064724919094</v>
      </c>
      <c r="Q26" s="28">
        <f>表单2_清洗!AG28</f>
        <v>26.527103559870547</v>
      </c>
      <c r="R26" s="28">
        <f>表单2_清洗!AH28</f>
        <v>0.14158576051779936</v>
      </c>
      <c r="S26" s="28">
        <f>表单2_清洗!AI28</f>
        <v>0.92030744336569581</v>
      </c>
      <c r="T26" s="28">
        <f>表单2_清洗!AJ28</f>
        <v>0</v>
      </c>
      <c r="U26" s="28">
        <f>表单2_清洗!AK28</f>
        <v>0</v>
      </c>
      <c r="V26" s="28">
        <f>表单2_清洗!AL28</f>
        <v>100</v>
      </c>
    </row>
    <row r="27" spans="1:22">
      <c r="A27" s="26" t="s">
        <v>99</v>
      </c>
      <c r="B27" s="26" t="s">
        <v>41</v>
      </c>
      <c r="C27" t="str">
        <f>表单2_清洗!Q29</f>
        <v>未风化点</v>
      </c>
      <c r="D27" t="str">
        <f>表单2_清洗!R29</f>
        <v>铅钡</v>
      </c>
      <c r="E27" t="str">
        <f>表单2_清洗!T29</f>
        <v>无风化</v>
      </c>
      <c r="F27" s="27">
        <f>表单2_清洗!U29</f>
        <v>97.06</v>
      </c>
      <c r="G27" s="32">
        <f>表单2_清洗!W29</f>
        <v>4</v>
      </c>
      <c r="H27" s="28">
        <f>表单2_清洗!X29</f>
        <v>52.143004327220275</v>
      </c>
      <c r="I27" s="28">
        <f>表单2_清洗!Y29</f>
        <v>2.3799711518648259</v>
      </c>
      <c r="J27" s="28">
        <f>表单2_清洗!Z29</f>
        <v>0</v>
      </c>
      <c r="K27" s="28">
        <f>表单2_清洗!AA29</f>
        <v>0.6490830414176797</v>
      </c>
      <c r="L27" s="28">
        <f>表单2_清洗!AB29</f>
        <v>0</v>
      </c>
      <c r="M27" s="28">
        <f>表单2_清洗!AC29</f>
        <v>1.9575520296723676</v>
      </c>
      <c r="N27" s="28">
        <f>表单2_清洗!AD29</f>
        <v>1.5969503399958789</v>
      </c>
      <c r="O27" s="28">
        <f>表单2_清洗!AE29</f>
        <v>1.153925406964764</v>
      </c>
      <c r="P27" s="28">
        <f>表单2_清洗!AF29</f>
        <v>32.866268287657121</v>
      </c>
      <c r="Q27" s="28">
        <f>表单2_清洗!AG29</f>
        <v>6.8514321038532877</v>
      </c>
      <c r="R27" s="28">
        <f>表单2_清洗!AH29</f>
        <v>0.19575520296723675</v>
      </c>
      <c r="S27" s="28">
        <f>表单2_清洗!AI29</f>
        <v>0.20605810838656502</v>
      </c>
      <c r="T27" s="28">
        <f>表单2_清洗!AJ29</f>
        <v>0</v>
      </c>
      <c r="U27" s="28">
        <f>表单2_清洗!AK29</f>
        <v>0</v>
      </c>
      <c r="V27" s="28">
        <f>表单2_清洗!AL29</f>
        <v>100.00000000000001</v>
      </c>
    </row>
    <row r="28" spans="1:22">
      <c r="A28" s="26" t="s">
        <v>42</v>
      </c>
      <c r="B28" s="26" t="s">
        <v>42</v>
      </c>
      <c r="C28" t="str">
        <f>表单2_清洗!Q30</f>
        <v>普通采样点</v>
      </c>
      <c r="D28" t="str">
        <f>表单2_清洗!R30</f>
        <v>铅钡</v>
      </c>
      <c r="E28" t="str">
        <f>表单2_清洗!T30</f>
        <v>风化</v>
      </c>
      <c r="F28" s="27">
        <f>表单2_清洗!U30</f>
        <v>99.82</v>
      </c>
      <c r="G28" s="32">
        <f>表单2_清洗!W30</f>
        <v>5</v>
      </c>
      <c r="H28" s="28">
        <f>表单2_清洗!X30</f>
        <v>19.825686235223401</v>
      </c>
      <c r="I28" s="28">
        <f>表单2_清洗!Y30</f>
        <v>0</v>
      </c>
      <c r="J28" s="28">
        <f>表单2_清洗!Z30</f>
        <v>0</v>
      </c>
      <c r="K28" s="28">
        <f>表单2_清洗!AA30</f>
        <v>1.4425966740132239</v>
      </c>
      <c r="L28" s="28">
        <f>表单2_清洗!AB30</f>
        <v>0</v>
      </c>
      <c r="M28" s="28">
        <f>表单2_清洗!AC30</f>
        <v>0.70126227208976155</v>
      </c>
      <c r="N28" s="28">
        <f>表单2_清洗!AD30</f>
        <v>0</v>
      </c>
      <c r="O28" s="28">
        <f>表单2_清洗!AE30</f>
        <v>10.589060308555402</v>
      </c>
      <c r="P28" s="28">
        <f>表单2_清洗!AF30</f>
        <v>29.583249849729516</v>
      </c>
      <c r="Q28" s="28">
        <f>表单2_清洗!AG30</f>
        <v>32.308154678421161</v>
      </c>
      <c r="R28" s="28">
        <f>表单2_清洗!AH30</f>
        <v>3.135644159487077</v>
      </c>
      <c r="S28" s="28">
        <f>表单2_清洗!AI30</f>
        <v>0.45081146062913252</v>
      </c>
      <c r="T28" s="28">
        <f>表单2_清洗!AJ30</f>
        <v>0</v>
      </c>
      <c r="U28" s="28">
        <f>表单2_清洗!AK30</f>
        <v>1.9635343618513323</v>
      </c>
      <c r="V28" s="28">
        <f>表单2_清洗!AL30</f>
        <v>99.999999999999986</v>
      </c>
    </row>
    <row r="29" spans="1:22">
      <c r="A29" s="26" t="s">
        <v>100</v>
      </c>
      <c r="B29" s="26" t="s">
        <v>42</v>
      </c>
      <c r="C29" t="str">
        <f>表单2_清洗!Q31</f>
        <v>严重风化点</v>
      </c>
      <c r="D29" t="str">
        <f>表单2_清洗!R31</f>
        <v>铅钡</v>
      </c>
      <c r="E29" t="str">
        <f>表单2_清洗!T31</f>
        <v>风化</v>
      </c>
      <c r="F29" s="27">
        <f>表单2_清洗!U31</f>
        <v>99.890000000000015</v>
      </c>
      <c r="G29" s="32">
        <f>表单2_清洗!W31</f>
        <v>4</v>
      </c>
      <c r="H29" s="28">
        <f>表单2_清洗!X31</f>
        <v>3.7240965061567723</v>
      </c>
      <c r="I29" s="28">
        <f>表单2_清洗!Y31</f>
        <v>0</v>
      </c>
      <c r="J29" s="28">
        <f>表单2_清洗!Z31</f>
        <v>0.4004404845329862</v>
      </c>
      <c r="K29" s="28">
        <f>表单2_清洗!AA31</f>
        <v>3.0133146461107212</v>
      </c>
      <c r="L29" s="28">
        <f>表单2_清洗!AB31</f>
        <v>0</v>
      </c>
      <c r="M29" s="28">
        <f>表单2_清洗!AC31</f>
        <v>1.1812994293723094</v>
      </c>
      <c r="N29" s="28">
        <f>表单2_清洗!AD31</f>
        <v>0</v>
      </c>
      <c r="O29" s="28">
        <f>表单2_清洗!AE31</f>
        <v>3.6039643607968763</v>
      </c>
      <c r="P29" s="28">
        <f>表单2_清洗!AF31</f>
        <v>29.952948243067372</v>
      </c>
      <c r="Q29" s="28">
        <f>表单2_清洗!AG31</f>
        <v>35.489037941735909</v>
      </c>
      <c r="R29" s="28">
        <f>表单2_清洗!AH31</f>
        <v>6.0466513164480924</v>
      </c>
      <c r="S29" s="28">
        <f>表单2_清洗!AI31</f>
        <v>0.62068275102612858</v>
      </c>
      <c r="T29" s="28">
        <f>表单2_清洗!AJ31</f>
        <v>0</v>
      </c>
      <c r="U29" s="28">
        <f>表单2_清洗!AK31</f>
        <v>15.967564320752825</v>
      </c>
      <c r="V29" s="28">
        <f>表单2_清洗!AL31</f>
        <v>100</v>
      </c>
    </row>
    <row r="30" spans="1:22">
      <c r="A30" s="26" t="s">
        <v>43</v>
      </c>
      <c r="B30" s="26" t="s">
        <v>43</v>
      </c>
      <c r="C30" t="str">
        <f>表单2_清洗!Q32</f>
        <v>普通采样点</v>
      </c>
      <c r="D30" t="str">
        <f>表单2_清洗!R32</f>
        <v>高钾</v>
      </c>
      <c r="E30" t="str">
        <f>表单2_清洗!T32</f>
        <v>风化</v>
      </c>
      <c r="F30" s="27">
        <f>表单2_清洗!U32</f>
        <v>98.810000000000016</v>
      </c>
      <c r="G30" s="32">
        <f>表单2_清洗!W32</f>
        <v>7</v>
      </c>
      <c r="H30" s="28">
        <f>表单2_清洗!X32</f>
        <v>93.836656208885728</v>
      </c>
      <c r="I30" s="28">
        <f>表单2_清洗!Y32</f>
        <v>0</v>
      </c>
      <c r="J30" s="28">
        <f>表单2_清洗!Z32</f>
        <v>0</v>
      </c>
      <c r="K30" s="28">
        <f>表单2_清洗!AA32</f>
        <v>0.95132071652666705</v>
      </c>
      <c r="L30" s="28">
        <f>表单2_清洗!AB32</f>
        <v>0.54650339034510664</v>
      </c>
      <c r="M30" s="28">
        <f>表单2_清洗!AC32</f>
        <v>2.5402287217892918</v>
      </c>
      <c r="N30" s="28">
        <f>表单2_清洗!AD32</f>
        <v>0.20240866309078026</v>
      </c>
      <c r="O30" s="28">
        <f>表单2_清洗!AE32</f>
        <v>1.5585467057990081</v>
      </c>
      <c r="P30" s="28">
        <f>表单2_清洗!AF32</f>
        <v>0</v>
      </c>
      <c r="Q30" s="28">
        <f>表单2_清洗!AG32</f>
        <v>0</v>
      </c>
      <c r="R30" s="28">
        <f>表单2_清洗!AH32</f>
        <v>0.36433559356340445</v>
      </c>
      <c r="S30" s="28">
        <f>表单2_清洗!AI32</f>
        <v>0</v>
      </c>
      <c r="T30" s="28">
        <f>表单2_清洗!AJ32</f>
        <v>0</v>
      </c>
      <c r="U30" s="28">
        <f>表单2_清洗!AK32</f>
        <v>0</v>
      </c>
      <c r="V30" s="28">
        <f>表单2_清洗!AL32</f>
        <v>99.999999999999986</v>
      </c>
    </row>
    <row r="31" spans="1:22">
      <c r="A31" s="26" t="s">
        <v>101</v>
      </c>
      <c r="B31" s="26" t="s">
        <v>44</v>
      </c>
      <c r="C31" t="str">
        <f>表单2_清洗!Q33</f>
        <v>未风化点</v>
      </c>
      <c r="D31" t="str">
        <f>表单2_清洗!R33</f>
        <v>铅钡</v>
      </c>
      <c r="E31" t="str">
        <f>表单2_清洗!T33</f>
        <v>无风化</v>
      </c>
      <c r="F31" s="27">
        <f>表单2_清洗!U33</f>
        <v>98.690000000000026</v>
      </c>
      <c r="G31" s="32">
        <f>表单2_清洗!W33</f>
        <v>2</v>
      </c>
      <c r="H31" s="28">
        <f>表单2_清洗!X33</f>
        <v>68.983686290404279</v>
      </c>
      <c r="I31" s="28">
        <f>表单2_清洗!Y33</f>
        <v>0</v>
      </c>
      <c r="J31" s="28">
        <f>表单2_清洗!Z33</f>
        <v>0.26345121086229606</v>
      </c>
      <c r="K31" s="28">
        <f>表单2_清洗!AA33</f>
        <v>1.3577870098287566</v>
      </c>
      <c r="L31" s="28">
        <f>表单2_清洗!AB33</f>
        <v>1.0132738879319079</v>
      </c>
      <c r="M31" s="28">
        <f>表单2_清洗!AC33</f>
        <v>4.7623872732799661</v>
      </c>
      <c r="N31" s="28">
        <f>表单2_清洗!AD33</f>
        <v>0.41544229405208216</v>
      </c>
      <c r="O31" s="28">
        <f>表单2_清洗!AE33</f>
        <v>0.33438038301752954</v>
      </c>
      <c r="P31" s="28">
        <f>表单2_清洗!AF33</f>
        <v>17.367514439152899</v>
      </c>
      <c r="Q31" s="28">
        <f>表单2_清洗!AG33</f>
        <v>4.0936265072449078</v>
      </c>
      <c r="R31" s="28">
        <f>表单2_清洗!AH33</f>
        <v>1.0538048434491842</v>
      </c>
      <c r="S31" s="28">
        <f>表单2_清洗!AI33</f>
        <v>0.12159286655182891</v>
      </c>
      <c r="T31" s="28">
        <f>表单2_清洗!AJ33</f>
        <v>0.23305299422433878</v>
      </c>
      <c r="U31" s="28">
        <f>表单2_清洗!AK33</f>
        <v>0</v>
      </c>
      <c r="V31" s="28">
        <f>表单2_清洗!AL33</f>
        <v>99.999999999999972</v>
      </c>
    </row>
    <row r="32" spans="1:22">
      <c r="A32" s="26" t="s">
        <v>102</v>
      </c>
      <c r="B32" s="26" t="s">
        <v>45</v>
      </c>
      <c r="C32" t="str">
        <f>表单2_清洗!Q34</f>
        <v>未风化点</v>
      </c>
      <c r="D32" t="str">
        <f>表单2_清洗!R34</f>
        <v>铅钡</v>
      </c>
      <c r="E32" t="str">
        <f>表单2_清洗!T34</f>
        <v>无风化</v>
      </c>
      <c r="F32" s="27">
        <f>表单2_清洗!U34</f>
        <v>99.88</v>
      </c>
      <c r="G32" s="32">
        <f>表单2_清洗!W34</f>
        <v>2</v>
      </c>
      <c r="H32" s="28">
        <f>表单2_清洗!X34</f>
        <v>63.376051261513823</v>
      </c>
      <c r="I32" s="28">
        <f>表单2_清洗!Y34</f>
        <v>0.92110532639167009</v>
      </c>
      <c r="J32" s="28">
        <f>表单2_清洗!Z34</f>
        <v>0.30036043251902284</v>
      </c>
      <c r="K32" s="28">
        <f>表单2_清洗!AA34</f>
        <v>2.9835802963556266</v>
      </c>
      <c r="L32" s="28">
        <f>表单2_清洗!AB34</f>
        <v>1.4917901481778133</v>
      </c>
      <c r="M32" s="28">
        <f>表单2_清洗!AC34</f>
        <v>14.357228674409292</v>
      </c>
      <c r="N32" s="28">
        <f>表单2_清洗!AD34</f>
        <v>0.81097316780136175</v>
      </c>
      <c r="O32" s="28">
        <f>表单2_清洗!AE34</f>
        <v>0.74088906688025635</v>
      </c>
      <c r="P32" s="28">
        <f>表单2_清洗!AF34</f>
        <v>12.324789747697237</v>
      </c>
      <c r="Q32" s="28">
        <f>表单2_清洗!AG34</f>
        <v>2.0324389267120542</v>
      </c>
      <c r="R32" s="28">
        <f>表单2_清洗!AH34</f>
        <v>0.41049259110933117</v>
      </c>
      <c r="S32" s="28">
        <f>表单2_清洗!AI34</f>
        <v>0.25030036043251902</v>
      </c>
      <c r="T32" s="28">
        <f>表单2_清洗!AJ34</f>
        <v>0</v>
      </c>
      <c r="U32" s="28">
        <f>表单2_清洗!AK34</f>
        <v>0</v>
      </c>
      <c r="V32" s="28">
        <f>表单2_清洗!AL34</f>
        <v>100.00000000000001</v>
      </c>
    </row>
    <row r="33" spans="1:22">
      <c r="A33" s="26" t="s">
        <v>103</v>
      </c>
      <c r="B33" s="26" t="s">
        <v>46</v>
      </c>
      <c r="C33" t="str">
        <f>表单2_清洗!Q35</f>
        <v>不同部位</v>
      </c>
      <c r="D33" t="str">
        <f>表单2_清洗!R35</f>
        <v>铅钡</v>
      </c>
      <c r="E33" t="str">
        <f>表单2_清洗!T35</f>
        <v>无风化</v>
      </c>
      <c r="F33" s="27">
        <f>表单2_清洗!U35</f>
        <v>97.949999999999989</v>
      </c>
      <c r="G33" s="32">
        <f>表单2_清洗!W35</f>
        <v>4</v>
      </c>
      <c r="H33" s="28">
        <f>表单2_清洗!X35</f>
        <v>35.058703420112309</v>
      </c>
      <c r="I33" s="28">
        <f>表单2_清洗!Y35</f>
        <v>0</v>
      </c>
      <c r="J33" s="28">
        <f>表单2_清洗!Z35</f>
        <v>1.439509954058193</v>
      </c>
      <c r="K33" s="28">
        <f>表单2_清洗!AA35</f>
        <v>4.5839714139867285</v>
      </c>
      <c r="L33" s="28">
        <f>表单2_清洗!AB35</f>
        <v>1.0005104645227156</v>
      </c>
      <c r="M33" s="28">
        <f>表单2_清洗!AC35</f>
        <v>4.4410413476263404</v>
      </c>
      <c r="N33" s="28">
        <f>表单2_清洗!AD35</f>
        <v>2.1643695763144466</v>
      </c>
      <c r="O33" s="28">
        <f>表单2_清洗!AE35</f>
        <v>0</v>
      </c>
      <c r="P33" s="28">
        <f>表单2_清洗!AF35</f>
        <v>40.040837161817258</v>
      </c>
      <c r="Q33" s="28">
        <f>表单2_清洗!AG35</f>
        <v>10.505359877488516</v>
      </c>
      <c r="R33" s="28">
        <f>表单2_清洗!AH35</f>
        <v>0</v>
      </c>
      <c r="S33" s="28">
        <f>表单2_清洗!AI35</f>
        <v>0.35732516590096991</v>
      </c>
      <c r="T33" s="28">
        <f>表单2_清洗!AJ35</f>
        <v>0.40837161817253709</v>
      </c>
      <c r="U33" s="28">
        <f>表单2_清洗!AK35</f>
        <v>0</v>
      </c>
      <c r="V33" s="28">
        <f>表单2_清洗!AL35</f>
        <v>100.00000000000003</v>
      </c>
    </row>
    <row r="34" spans="1:22">
      <c r="A34" s="26" t="s">
        <v>104</v>
      </c>
      <c r="B34" s="26" t="s">
        <v>46</v>
      </c>
      <c r="C34" t="str">
        <f>表单2_清洗!Q36</f>
        <v>不同部位</v>
      </c>
      <c r="D34" t="str">
        <f>表单2_清洗!R36</f>
        <v>铅钡</v>
      </c>
      <c r="E34" t="str">
        <f>表单2_清洗!T36</f>
        <v>无风化</v>
      </c>
      <c r="F34" s="27">
        <f>表单2_清洗!U36</f>
        <v>98.7</v>
      </c>
      <c r="G34" s="32">
        <f>表单2_清洗!W36</f>
        <v>4</v>
      </c>
      <c r="H34" s="28">
        <f>表单2_清洗!X36</f>
        <v>37.416413373860181</v>
      </c>
      <c r="I34" s="28">
        <f>表单2_清洗!Y36</f>
        <v>0</v>
      </c>
      <c r="J34" s="28">
        <f>表单2_清洗!Z36</f>
        <v>0</v>
      </c>
      <c r="K34" s="28">
        <f>表单2_清洗!AA36</f>
        <v>4.2958459979736574</v>
      </c>
      <c r="L34" s="28">
        <f>表单2_清洗!AB36</f>
        <v>0.51671732522796354</v>
      </c>
      <c r="M34" s="28">
        <f>表单2_清洗!AC36</f>
        <v>3.9108409321175279</v>
      </c>
      <c r="N34" s="28">
        <f>表单2_清洗!AD36</f>
        <v>2.7760891590678827</v>
      </c>
      <c r="O34" s="28">
        <f>表单2_清洗!AE36</f>
        <v>0</v>
      </c>
      <c r="P34" s="28">
        <f>表单2_清洗!AF36</f>
        <v>38.237082066869306</v>
      </c>
      <c r="Q34" s="28">
        <f>表单2_清洗!AG36</f>
        <v>10.486322188449847</v>
      </c>
      <c r="R34" s="28">
        <f>表单2_清洗!AH36</f>
        <v>1.4285714285714286</v>
      </c>
      <c r="S34" s="28">
        <f>表单2_清洗!AI36</f>
        <v>0.48632218844984798</v>
      </c>
      <c r="T34" s="28">
        <f>表单2_清洗!AJ36</f>
        <v>0.44579533941236066</v>
      </c>
      <c r="U34" s="28">
        <f>表单2_清洗!AK36</f>
        <v>0</v>
      </c>
      <c r="V34" s="28">
        <f>表单2_清洗!AL36</f>
        <v>100</v>
      </c>
    </row>
    <row r="35" spans="1:22">
      <c r="A35" s="26" t="s">
        <v>47</v>
      </c>
      <c r="B35" s="26" t="s">
        <v>47</v>
      </c>
      <c r="C35" t="str">
        <f>表单2_清洗!Q37</f>
        <v>普通采样点</v>
      </c>
      <c r="D35" t="str">
        <f>表单2_清洗!R37</f>
        <v>铅钡</v>
      </c>
      <c r="E35" t="str">
        <f>表单2_清洗!T37</f>
        <v>无风化</v>
      </c>
      <c r="F35" s="27">
        <f>表单2_清洗!U37</f>
        <v>98.429999999999993</v>
      </c>
      <c r="G35" s="32">
        <f>表单2_清洗!W37</f>
        <v>4</v>
      </c>
      <c r="H35" s="28">
        <f>表单2_清洗!X37</f>
        <v>66.961292288936306</v>
      </c>
      <c r="I35" s="28">
        <f>表单2_清洗!Y37</f>
        <v>0</v>
      </c>
      <c r="J35" s="28">
        <f>表单2_清洗!Z37</f>
        <v>0</v>
      </c>
      <c r="K35" s="28">
        <f>表单2_清洗!AA37</f>
        <v>1.6255206745910804</v>
      </c>
      <c r="L35" s="28">
        <f>表单2_清洗!AB37</f>
        <v>0.9041958752412883</v>
      </c>
      <c r="M35" s="28">
        <f>表单2_清洗!AC37</f>
        <v>3.1596058112364114</v>
      </c>
      <c r="N35" s="28">
        <f>表单2_清洗!AD37</f>
        <v>4.6632124352331603</v>
      </c>
      <c r="O35" s="28">
        <f>表单2_清洗!AE37</f>
        <v>0.44701818551254707</v>
      </c>
      <c r="P35" s="28">
        <f>表单2_清洗!AF37</f>
        <v>16.813979477801485</v>
      </c>
      <c r="Q35" s="28">
        <f>表单2_清洗!AG37</f>
        <v>3.4745504419384337</v>
      </c>
      <c r="R35" s="28">
        <f>表单2_清洗!AH37</f>
        <v>1.6458396830234687</v>
      </c>
      <c r="S35" s="28">
        <f>表单2_清洗!AI37</f>
        <v>0.30478512648582751</v>
      </c>
      <c r="T35" s="28">
        <f>表单2_清洗!AJ37</f>
        <v>0</v>
      </c>
      <c r="U35" s="28">
        <f>表单2_清洗!AK37</f>
        <v>0</v>
      </c>
      <c r="V35" s="28">
        <f>表单2_清洗!AL37</f>
        <v>100.00000000000001</v>
      </c>
    </row>
    <row r="36" spans="1:22">
      <c r="A36" s="26" t="s">
        <v>48</v>
      </c>
      <c r="B36" s="26" t="s">
        <v>48</v>
      </c>
      <c r="C36" t="str">
        <f>表单2_清洗!Q38</f>
        <v>普通采样点</v>
      </c>
      <c r="D36" t="str">
        <f>表单2_清洗!R38</f>
        <v>铅钡</v>
      </c>
      <c r="E36" t="str">
        <f>表单2_清洗!T38</f>
        <v>无风化</v>
      </c>
      <c r="F36" s="27">
        <f>表单2_清洗!U38</f>
        <v>98.659999999999982</v>
      </c>
      <c r="G36" s="32">
        <f>表单2_清洗!W38</f>
        <v>5</v>
      </c>
      <c r="H36" s="28">
        <f>表单2_清洗!X38</f>
        <v>70.65680113521185</v>
      </c>
      <c r="I36" s="28">
        <f>表单2_清洗!Y38</f>
        <v>0</v>
      </c>
      <c r="J36" s="28">
        <f>表单2_清洗!Z38</f>
        <v>0.21285221974457735</v>
      </c>
      <c r="K36" s="28">
        <f>表单2_清洗!AA38</f>
        <v>0.46624771944050286</v>
      </c>
      <c r="L36" s="28">
        <f>表单2_清洗!AB38</f>
        <v>0</v>
      </c>
      <c r="M36" s="28">
        <f>表单2_清洗!AC38</f>
        <v>2.3920535171295358</v>
      </c>
      <c r="N36" s="28">
        <f>表单2_清洗!AD38</f>
        <v>1.0135819987837018</v>
      </c>
      <c r="O36" s="28">
        <f>表单2_清洗!AE38</f>
        <v>0.1114940198662072</v>
      </c>
      <c r="P36" s="28">
        <f>表单2_清洗!AF38</f>
        <v>20.028380295965949</v>
      </c>
      <c r="Q36" s="28">
        <f>表单2_清洗!AG38</f>
        <v>4.946280154064465</v>
      </c>
      <c r="R36" s="28">
        <f>表单2_清洗!AH38</f>
        <v>0.17230893979322931</v>
      </c>
      <c r="S36" s="28">
        <f>表单2_清洗!AI38</f>
        <v>0</v>
      </c>
      <c r="T36" s="28">
        <f>表单2_清洗!AJ38</f>
        <v>0</v>
      </c>
      <c r="U36" s="28">
        <f>表单2_清洗!AK38</f>
        <v>0</v>
      </c>
      <c r="V36" s="28">
        <f>表单2_清洗!AL38</f>
        <v>100.00000000000003</v>
      </c>
    </row>
    <row r="37" spans="1:22">
      <c r="A37" s="26" t="s">
        <v>50</v>
      </c>
      <c r="B37" s="26" t="s">
        <v>50</v>
      </c>
      <c r="C37" t="str">
        <f>表单2_清洗!Q39</f>
        <v>普通采样点</v>
      </c>
      <c r="D37" t="str">
        <f>表单2_清洗!R39</f>
        <v>铅钡</v>
      </c>
      <c r="E37" t="str">
        <f>表单2_清洗!T39</f>
        <v>无风化</v>
      </c>
      <c r="F37" s="27">
        <f>表单2_清洗!U39</f>
        <v>99.96</v>
      </c>
      <c r="G37" s="32">
        <f>表单2_清洗!W39</f>
        <v>5</v>
      </c>
      <c r="H37" s="28">
        <f>表单2_清洗!X39</f>
        <v>75.540216086434583</v>
      </c>
      <c r="I37" s="28">
        <f>表单2_清洗!Y39</f>
        <v>0</v>
      </c>
      <c r="J37" s="28">
        <f>表单2_清洗!Z39</f>
        <v>0.15006002400960386</v>
      </c>
      <c r="K37" s="28">
        <f>表单2_清洗!AA39</f>
        <v>0.64025610244097642</v>
      </c>
      <c r="L37" s="28">
        <f>表单2_清洗!AB39</f>
        <v>1.0004001600640255</v>
      </c>
      <c r="M37" s="28">
        <f>表单2_清洗!AC39</f>
        <v>2.3509403761504606</v>
      </c>
      <c r="N37" s="28">
        <f>表单2_清洗!AD39</f>
        <v>0</v>
      </c>
      <c r="O37" s="28">
        <f>表单2_清洗!AE39</f>
        <v>0.47018807523009204</v>
      </c>
      <c r="P37" s="28">
        <f>表单2_清洗!AF39</f>
        <v>16.166466586634655</v>
      </c>
      <c r="Q37" s="28">
        <f>表单2_清洗!AG39</f>
        <v>3.5514205682272912</v>
      </c>
      <c r="R37" s="28">
        <f>表单2_清洗!AH39</f>
        <v>0.13005202080832334</v>
      </c>
      <c r="S37" s="28">
        <f>表单2_清洗!AI39</f>
        <v>0</v>
      </c>
      <c r="T37" s="28">
        <f>表单2_清洗!AJ39</f>
        <v>0</v>
      </c>
      <c r="U37" s="28">
        <f>表单2_清洗!AK39</f>
        <v>0</v>
      </c>
      <c r="V37" s="28">
        <f>表单2_清洗!AL39</f>
        <v>100.00000000000001</v>
      </c>
    </row>
    <row r="38" spans="1:22">
      <c r="A38" s="26" t="s">
        <v>51</v>
      </c>
      <c r="B38" s="26" t="s">
        <v>51</v>
      </c>
      <c r="C38" t="str">
        <f>表单2_清洗!Q40</f>
        <v>普通采样点</v>
      </c>
      <c r="D38" t="str">
        <f>表单2_清洗!R40</f>
        <v>铅钡</v>
      </c>
      <c r="E38" t="str">
        <f>表单2_清洗!T40</f>
        <v>风化</v>
      </c>
      <c r="F38" s="27">
        <f>表单2_清洗!U40</f>
        <v>97.52</v>
      </c>
      <c r="G38" s="32">
        <f>表单2_清洗!W40</f>
        <v>4</v>
      </c>
      <c r="H38" s="28">
        <f>表单2_清洗!X40</f>
        <v>36.689909762100086</v>
      </c>
      <c r="I38" s="28">
        <f>表单2_清洗!Y40</f>
        <v>0</v>
      </c>
      <c r="J38" s="28">
        <f>表单2_清洗!Z40</f>
        <v>0.25635767022149303</v>
      </c>
      <c r="K38" s="28">
        <f>表单2_清洗!AA40</f>
        <v>0.79983593109105833</v>
      </c>
      <c r="L38" s="28">
        <f>表单2_清洗!AB40</f>
        <v>0</v>
      </c>
      <c r="M38" s="28">
        <f>表单2_清洗!AC40</f>
        <v>1.6611977030352751</v>
      </c>
      <c r="N38" s="28">
        <f>表单2_清洗!AD40</f>
        <v>0.48195242001640687</v>
      </c>
      <c r="O38" s="28">
        <f>表单2_清洗!AE40</f>
        <v>1.5484003281378178</v>
      </c>
      <c r="P38" s="28">
        <f>表单2_清洗!AF40</f>
        <v>47.733798195242002</v>
      </c>
      <c r="Q38" s="28">
        <f>表单2_清洗!AG40</f>
        <v>10.254306808859722</v>
      </c>
      <c r="R38" s="28">
        <f>表单2_清洗!AH40</f>
        <v>0.34864643150123054</v>
      </c>
      <c r="S38" s="28">
        <f>表单2_清洗!AI40</f>
        <v>0.2255947497949139</v>
      </c>
      <c r="T38" s="28">
        <f>表单2_清洗!AJ40</f>
        <v>0</v>
      </c>
      <c r="U38" s="28">
        <f>表单2_清洗!AK40</f>
        <v>0</v>
      </c>
      <c r="V38" s="28">
        <f>表单2_清洗!AL40</f>
        <v>100</v>
      </c>
    </row>
    <row r="39" spans="1:22">
      <c r="A39" s="26" t="s">
        <v>52</v>
      </c>
      <c r="B39" s="26" t="s">
        <v>52</v>
      </c>
      <c r="C39" t="str">
        <f>表单2_清洗!Q41</f>
        <v>普通采样点</v>
      </c>
      <c r="D39" t="str">
        <f>表单2_清洗!R41</f>
        <v>铅钡</v>
      </c>
      <c r="E39" t="str">
        <f>表单2_清洗!T41</f>
        <v>无风化</v>
      </c>
      <c r="F39" s="27">
        <f>表单2_清洗!U41</f>
        <v>96.21</v>
      </c>
      <c r="G39" s="32">
        <f>表单2_清洗!W41</f>
        <v>6</v>
      </c>
      <c r="H39" s="28">
        <f>表单2_清洗!X41</f>
        <v>68.506392266916123</v>
      </c>
      <c r="I39" s="28">
        <f>表单2_清洗!Y41</f>
        <v>0</v>
      </c>
      <c r="J39" s="28">
        <f>表单2_清洗!Z41</f>
        <v>0</v>
      </c>
      <c r="K39" s="28">
        <f>表单2_清洗!AA41</f>
        <v>0.3949693379066625</v>
      </c>
      <c r="L39" s="28">
        <f>表单2_清洗!AB41</f>
        <v>0</v>
      </c>
      <c r="M39" s="28">
        <f>表单2_清洗!AC41</f>
        <v>1.4967259120673526</v>
      </c>
      <c r="N39" s="28">
        <f>表单2_清洗!AD41</f>
        <v>0.17669680906350693</v>
      </c>
      <c r="O39" s="28">
        <f>表单2_清洗!AE41</f>
        <v>0.16630287911859476</v>
      </c>
      <c r="P39" s="28">
        <f>表单2_清洗!AF41</f>
        <v>22.91861552853134</v>
      </c>
      <c r="Q39" s="28">
        <f>表单2_清洗!AG41</f>
        <v>5.9037522087101131</v>
      </c>
      <c r="R39" s="28">
        <f>表单2_清洗!AH41</f>
        <v>0.43654505768631119</v>
      </c>
      <c r="S39" s="28">
        <f>表单2_清洗!AI41</f>
        <v>0</v>
      </c>
      <c r="T39" s="28">
        <f>表单2_清洗!AJ41</f>
        <v>0</v>
      </c>
      <c r="U39" s="28">
        <f>表单2_清洗!AK41</f>
        <v>0</v>
      </c>
      <c r="V39" s="28">
        <f>表单2_清洗!AL41</f>
        <v>99.999999999999986</v>
      </c>
    </row>
    <row r="40" spans="1:22">
      <c r="A40" s="26" t="s">
        <v>53</v>
      </c>
      <c r="B40" s="26" t="s">
        <v>53</v>
      </c>
      <c r="C40" t="str">
        <f>表单2_清洗!Q42</f>
        <v>普通采样点</v>
      </c>
      <c r="D40" t="str">
        <f>表单2_清洗!R42</f>
        <v>铅钡</v>
      </c>
      <c r="E40" t="str">
        <f>表单2_清洗!T42</f>
        <v>风化</v>
      </c>
      <c r="F40" s="27">
        <f>表单2_清洗!U42</f>
        <v>97.629999999999981</v>
      </c>
      <c r="G40" s="32">
        <f>表单2_清洗!W42</f>
        <v>3</v>
      </c>
      <c r="H40" s="28">
        <f>表单2_清洗!X42</f>
        <v>40.53057461845745</v>
      </c>
      <c r="I40" s="28">
        <f>表单2_清洗!Y42</f>
        <v>2.2738912219604637</v>
      </c>
      <c r="J40" s="28">
        <f>表单2_清洗!Z42</f>
        <v>0.14339854552903825</v>
      </c>
      <c r="K40" s="28">
        <f>表单2_清洗!AA42</f>
        <v>0.37898187032674391</v>
      </c>
      <c r="L40" s="28">
        <f>表单2_清洗!AB42</f>
        <v>0</v>
      </c>
      <c r="M40" s="28">
        <f>表单2_清洗!AC42</f>
        <v>1.6388405203318654</v>
      </c>
      <c r="N40" s="28">
        <f>表单2_清洗!AD42</f>
        <v>0.32776810406637313</v>
      </c>
      <c r="O40" s="28">
        <f>表单2_清洗!AE42</f>
        <v>0.69650722114104291</v>
      </c>
      <c r="P40" s="28">
        <f>表单2_清洗!AF42</f>
        <v>42.620096281880578</v>
      </c>
      <c r="Q40" s="28">
        <f>表单2_清洗!AG42</f>
        <v>11.092901771996315</v>
      </c>
      <c r="R40" s="28">
        <f>表单2_清洗!AH42</f>
        <v>7.1699272764519123E-2</v>
      </c>
      <c r="S40" s="28">
        <f>表单2_清洗!AI42</f>
        <v>0.22534057154563153</v>
      </c>
      <c r="T40" s="28">
        <f>表单2_清洗!AJ42</f>
        <v>0</v>
      </c>
      <c r="U40" s="28">
        <f>表单2_清洗!AK42</f>
        <v>0</v>
      </c>
      <c r="V40" s="28">
        <f>表单2_清洗!AL42</f>
        <v>100.00000000000001</v>
      </c>
    </row>
    <row r="41" spans="1:22">
      <c r="A41" s="26" t="s">
        <v>54</v>
      </c>
      <c r="B41" s="26" t="s">
        <v>54</v>
      </c>
      <c r="C41" t="str">
        <f>表单2_清洗!Q43</f>
        <v>普通采样点</v>
      </c>
      <c r="D41" t="str">
        <f>表单2_清洗!R43</f>
        <v>铅钡</v>
      </c>
      <c r="E41" t="str">
        <f>表单2_清洗!T43</f>
        <v>无风化</v>
      </c>
      <c r="F41" s="27">
        <f>表单2_清洗!U43</f>
        <v>99.97999999999999</v>
      </c>
      <c r="G41" s="32">
        <f>表单2_清洗!W43</f>
        <v>4</v>
      </c>
      <c r="H41" s="28">
        <f>表单2_清洗!X43</f>
        <v>60.13202640528106</v>
      </c>
      <c r="I41" s="28">
        <f>表单2_清洗!Y43</f>
        <v>0</v>
      </c>
      <c r="J41" s="28">
        <f>表单2_清洗!Z43</f>
        <v>0.2300460092018404</v>
      </c>
      <c r="K41" s="28">
        <f>表单2_清洗!AA43</f>
        <v>0.89017803560712161</v>
      </c>
      <c r="L41" s="28">
        <f>表单2_清洗!AB43</f>
        <v>0</v>
      </c>
      <c r="M41" s="28">
        <f>表单2_清洗!AC43</f>
        <v>2.7205441088217648</v>
      </c>
      <c r="N41" s="28">
        <f>表单2_清洗!AD43</f>
        <v>0</v>
      </c>
      <c r="O41" s="28">
        <f>表单2_清洗!AE43</f>
        <v>3.0106021204240849</v>
      </c>
      <c r="P41" s="28">
        <f>表单2_清洗!AF43</f>
        <v>17.243448689737946</v>
      </c>
      <c r="Q41" s="28">
        <f>表单2_清洗!AG43</f>
        <v>10.342068413682737</v>
      </c>
      <c r="R41" s="28">
        <f>表单2_清洗!AH43</f>
        <v>1.4602920584116825</v>
      </c>
      <c r="S41" s="28">
        <f>表单2_清洗!AI43</f>
        <v>0.31006201240248055</v>
      </c>
      <c r="T41" s="28">
        <f>表单2_清洗!AJ43</f>
        <v>0</v>
      </c>
      <c r="U41" s="28">
        <f>表单2_清洗!AK43</f>
        <v>3.6607321464292868</v>
      </c>
      <c r="V41" s="28">
        <f>表单2_清洗!AL43</f>
        <v>100</v>
      </c>
    </row>
    <row r="42" spans="1:22">
      <c r="A42" s="26" t="s">
        <v>55</v>
      </c>
      <c r="B42" s="26" t="s">
        <v>55</v>
      </c>
      <c r="C42" t="str">
        <f>表单2_清洗!Q44</f>
        <v>普通采样点</v>
      </c>
      <c r="D42" t="str">
        <f>表单2_清洗!R44</f>
        <v>铅钡</v>
      </c>
      <c r="E42" t="str">
        <f>表单2_清洗!T44</f>
        <v>风化</v>
      </c>
      <c r="F42" s="27">
        <f>表单2_清洗!U44</f>
        <v>98.570000000000007</v>
      </c>
      <c r="G42" s="32">
        <f>表单2_清洗!W44</f>
        <v>4</v>
      </c>
      <c r="H42" s="28">
        <f>表单2_清洗!X44</f>
        <v>33.407730546819515</v>
      </c>
      <c r="I42" s="28">
        <f>表单2_清洗!Y44</f>
        <v>1.4000202901491323</v>
      </c>
      <c r="J42" s="28">
        <f>表单2_清洗!Z44</f>
        <v>0</v>
      </c>
      <c r="K42" s="28">
        <f>表单2_清洗!AA44</f>
        <v>0.68986507050826829</v>
      </c>
      <c r="L42" s="28">
        <f>表单2_清洗!AB44</f>
        <v>0</v>
      </c>
      <c r="M42" s="28">
        <f>表单2_清洗!AC44</f>
        <v>2.6072841635386017</v>
      </c>
      <c r="N42" s="28">
        <f>表单2_清洗!AD44</f>
        <v>0.29420716242264378</v>
      </c>
      <c r="O42" s="28">
        <f>表单2_清洗!AE44</f>
        <v>0.74059044333975843</v>
      </c>
      <c r="P42" s="28">
        <f>表单2_清洗!AF44</f>
        <v>50.02536268641574</v>
      </c>
      <c r="Q42" s="28">
        <f>表单2_清洗!AG44</f>
        <v>9.9320280004058006</v>
      </c>
      <c r="R42" s="28">
        <f>表单2_清洗!AH44</f>
        <v>0.48696357918230693</v>
      </c>
      <c r="S42" s="28">
        <f>表单2_清洗!AI44</f>
        <v>0.41594805721822053</v>
      </c>
      <c r="T42" s="28">
        <f>表单2_清洗!AJ44</f>
        <v>0</v>
      </c>
      <c r="U42" s="28">
        <f>表单2_清洗!AK44</f>
        <v>0</v>
      </c>
      <c r="V42" s="28">
        <f>表单2_清洗!AL44</f>
        <v>99.999999999999972</v>
      </c>
    </row>
    <row r="43" spans="1:22">
      <c r="A43" s="26" t="s">
        <v>56</v>
      </c>
      <c r="B43" s="26" t="s">
        <v>56</v>
      </c>
      <c r="C43" t="str">
        <f>表单2_清洗!Q45</f>
        <v>普通采样点</v>
      </c>
      <c r="D43" t="str">
        <f>表单2_清洗!R45</f>
        <v>铅钡</v>
      </c>
      <c r="E43" t="str">
        <f>表单2_清洗!T45</f>
        <v>风化</v>
      </c>
      <c r="F43" s="27">
        <f>表单2_清洗!U45</f>
        <v>98.759999999999991</v>
      </c>
      <c r="G43" s="32">
        <f>表单2_清洗!W45</f>
        <v>6</v>
      </c>
      <c r="H43" s="28">
        <f>表单2_清洗!X45</f>
        <v>26.579586877278256</v>
      </c>
      <c r="I43" s="28">
        <f>表单2_清洗!Y45</f>
        <v>0</v>
      </c>
      <c r="J43" s="28">
        <f>表单2_清洗!Z45</f>
        <v>0</v>
      </c>
      <c r="K43" s="28">
        <f>表单2_清洗!AA45</f>
        <v>1.1239368165249091</v>
      </c>
      <c r="L43" s="28">
        <f>表单2_清洗!AB45</f>
        <v>0</v>
      </c>
      <c r="M43" s="28">
        <f>表单2_清洗!AC45</f>
        <v>0.50627784528149045</v>
      </c>
      <c r="N43" s="28">
        <f>表单2_清洗!AD45</f>
        <v>0</v>
      </c>
      <c r="O43" s="28">
        <f>表单2_清洗!AE45</f>
        <v>0.89104900769542328</v>
      </c>
      <c r="P43" s="28">
        <f>表单2_清洗!AF45</f>
        <v>61.796273795058731</v>
      </c>
      <c r="Q43" s="28">
        <f>表单2_清洗!AG45</f>
        <v>7.3106520858647235</v>
      </c>
      <c r="R43" s="28">
        <f>表单2_清洗!AH45</f>
        <v>1.1745646010530579</v>
      </c>
      <c r="S43" s="28">
        <f>表单2_清洗!AI45</f>
        <v>0.6176589712434184</v>
      </c>
      <c r="T43" s="28">
        <f>表单2_清洗!AJ45</f>
        <v>0</v>
      </c>
      <c r="U43" s="28">
        <f>表单2_清洗!AK45</f>
        <v>0</v>
      </c>
      <c r="V43" s="28">
        <f>表单2_清洗!AL45</f>
        <v>100</v>
      </c>
    </row>
    <row r="44" spans="1:22">
      <c r="A44" s="26" t="s">
        <v>57</v>
      </c>
      <c r="B44" s="26" t="s">
        <v>57</v>
      </c>
      <c r="C44" t="str">
        <f>表单2_清洗!Q46</f>
        <v>普通采样点</v>
      </c>
      <c r="D44" t="str">
        <f>表单2_清洗!R46</f>
        <v>铅钡</v>
      </c>
      <c r="E44" t="str">
        <f>表单2_清洗!T46</f>
        <v>风化</v>
      </c>
      <c r="F44" s="27">
        <f>表单2_清洗!U46</f>
        <v>98.57</v>
      </c>
      <c r="G44" s="32">
        <f>表单2_清洗!W46</f>
        <v>6</v>
      </c>
      <c r="H44" s="28">
        <f>表单2_清洗!X46</f>
        <v>16.952419600284063</v>
      </c>
      <c r="I44" s="28">
        <f>表单2_清洗!Y46</f>
        <v>0</v>
      </c>
      <c r="J44" s="28">
        <f>表单2_清洗!Z46</f>
        <v>0</v>
      </c>
      <c r="K44" s="28">
        <f>表单2_清洗!AA46</f>
        <v>1.8971289438977377</v>
      </c>
      <c r="L44" s="28">
        <f>表单2_清洗!AB46</f>
        <v>0</v>
      </c>
      <c r="M44" s="28">
        <f>表单2_清洗!AC46</f>
        <v>0.45652835548341281</v>
      </c>
      <c r="N44" s="28">
        <f>表单2_清洗!AD46</f>
        <v>0.19275641675966321</v>
      </c>
      <c r="O44" s="28">
        <f>表单2_清洗!AE46</f>
        <v>0</v>
      </c>
      <c r="P44" s="28">
        <f>表单2_清洗!AF46</f>
        <v>71.228568529978702</v>
      </c>
      <c r="Q44" s="28">
        <f>表单2_清洗!AG46</f>
        <v>6.7870548848534051</v>
      </c>
      <c r="R44" s="28">
        <f>表单2_清洗!AH46</f>
        <v>1.7956781982347574</v>
      </c>
      <c r="S44" s="28">
        <f>表单2_清洗!AI46</f>
        <v>0.68986507050826829</v>
      </c>
      <c r="T44" s="28">
        <f>表单2_清洗!AJ46</f>
        <v>0</v>
      </c>
      <c r="U44" s="28">
        <f>表单2_清洗!AK46</f>
        <v>0</v>
      </c>
      <c r="V44" s="28">
        <f>表单2_清洗!AL46</f>
        <v>100</v>
      </c>
    </row>
    <row r="45" spans="1:22">
      <c r="A45" s="26" t="s">
        <v>58</v>
      </c>
      <c r="B45" s="26" t="s">
        <v>58</v>
      </c>
      <c r="C45" t="str">
        <f>表单2_清洗!Q47</f>
        <v>普通采样点</v>
      </c>
      <c r="D45" t="str">
        <f>表单2_清洗!R47</f>
        <v>铅钡</v>
      </c>
      <c r="E45" t="str">
        <f>表单2_清洗!T47</f>
        <v>风化</v>
      </c>
      <c r="F45" s="27">
        <f>表单2_清洗!U47</f>
        <v>93.71</v>
      </c>
      <c r="G45" s="32">
        <f>表单2_清洗!W47</f>
        <v>3</v>
      </c>
      <c r="H45" s="28">
        <f>表单2_清洗!X47</f>
        <v>19.699071603884327</v>
      </c>
      <c r="I45" s="28">
        <f>表单2_清洗!Y47</f>
        <v>0</v>
      </c>
      <c r="J45" s="28">
        <f>表单2_清洗!Z47</f>
        <v>0.46953366769821792</v>
      </c>
      <c r="K45" s="28">
        <f>表单2_清洗!AA47</f>
        <v>5.292924981325366</v>
      </c>
      <c r="L45" s="28">
        <f>表单2_清洗!AB47</f>
        <v>2.913242983673034</v>
      </c>
      <c r="M45" s="28">
        <f>表单2_清洗!AC47</f>
        <v>3.553516166897877</v>
      </c>
      <c r="N45" s="28">
        <f>表单2_清洗!AD47</f>
        <v>1.910148329954114</v>
      </c>
      <c r="O45" s="28">
        <f>表单2_清洗!AE47</f>
        <v>0.20275317468786683</v>
      </c>
      <c r="P45" s="28">
        <f>表单2_清洗!AF47</f>
        <v>47.08142140646676</v>
      </c>
      <c r="Q45" s="28">
        <f>表单2_清洗!AG47</f>
        <v>10.415110447124107</v>
      </c>
      <c r="R45" s="28">
        <f>表单2_清洗!AH47</f>
        <v>7.9607299114288761</v>
      </c>
      <c r="S45" s="28">
        <f>表单2_清洗!AI47</f>
        <v>0.50154732685946002</v>
      </c>
      <c r="T45" s="28">
        <f>表单2_清洗!AJ47</f>
        <v>0</v>
      </c>
      <c r="U45" s="28">
        <f>表单2_清洗!AK47</f>
        <v>0</v>
      </c>
      <c r="V45" s="28">
        <f>表单2_清洗!AL47</f>
        <v>100</v>
      </c>
    </row>
    <row r="46" spans="1:22">
      <c r="A46" s="26" t="s">
        <v>105</v>
      </c>
      <c r="B46" s="26" t="s">
        <v>59</v>
      </c>
      <c r="C46" t="str">
        <f>表单2_清洗!Q48</f>
        <v>未风化点</v>
      </c>
      <c r="D46" t="str">
        <f>表单2_清洗!R48</f>
        <v>铅钡</v>
      </c>
      <c r="E46" t="str">
        <f>表单2_清洗!T48</f>
        <v>无风化</v>
      </c>
      <c r="F46" s="27">
        <f>表单2_清洗!U48</f>
        <v>98.009999999999991</v>
      </c>
      <c r="G46" s="32">
        <f>表单2_清洗!W48</f>
        <v>3</v>
      </c>
      <c r="H46" s="28">
        <f>表单2_清洗!X48</f>
        <v>52.300785634118974</v>
      </c>
      <c r="I46" s="28">
        <f>表单2_清洗!Y48</f>
        <v>5.8565452504846451</v>
      </c>
      <c r="J46" s="28">
        <f>表单2_清洗!Z48</f>
        <v>0.15304560759106214</v>
      </c>
      <c r="K46" s="28">
        <f>表单2_清洗!AA48</f>
        <v>0.80604019997959409</v>
      </c>
      <c r="L46" s="28">
        <f>表单2_清洗!AB48</f>
        <v>1.1121314151617185</v>
      </c>
      <c r="M46" s="28">
        <f>表单2_清洗!AC48</f>
        <v>3.6016732986429956</v>
      </c>
      <c r="N46" s="28">
        <f>表单2_清洗!AD48</f>
        <v>0</v>
      </c>
      <c r="O46" s="28">
        <f>表单2_清洗!AE48</f>
        <v>2.7242118151209063</v>
      </c>
      <c r="P46" s="28">
        <f>表单2_清洗!AF48</f>
        <v>22.324252627282931</v>
      </c>
      <c r="Q46" s="28">
        <f>表单2_清洗!AG48</f>
        <v>10.682583409856139</v>
      </c>
      <c r="R46" s="28">
        <f>表单2_清洗!AH48</f>
        <v>8.1624324048566482E-2</v>
      </c>
      <c r="S46" s="28">
        <f>表单2_清洗!AI48</f>
        <v>0.35710641771247831</v>
      </c>
      <c r="T46" s="28">
        <f>表单2_清洗!AJ48</f>
        <v>0</v>
      </c>
      <c r="U46" s="28">
        <f>表单2_清洗!AK48</f>
        <v>0</v>
      </c>
      <c r="V46" s="28">
        <f>表单2_清洗!AL48</f>
        <v>99.999999999999986</v>
      </c>
    </row>
    <row r="47" spans="1:22">
      <c r="A47" s="26" t="s">
        <v>106</v>
      </c>
      <c r="B47" s="26" t="s">
        <v>59</v>
      </c>
      <c r="C47" t="str">
        <f>表单2_清洗!Q49</f>
        <v>未风化点</v>
      </c>
      <c r="D47" t="str">
        <f>表单2_清洗!R49</f>
        <v>铅钡</v>
      </c>
      <c r="E47" t="str">
        <f>表单2_清洗!T49</f>
        <v>无风化</v>
      </c>
      <c r="F47" s="27">
        <f>表单2_清洗!U49</f>
        <v>97.899999999999991</v>
      </c>
      <c r="G47" s="32">
        <f>表单2_清洗!W49</f>
        <v>6</v>
      </c>
      <c r="H47" s="28">
        <f>表单2_清洗!X49</f>
        <v>52.431052093973442</v>
      </c>
      <c r="I47" s="28">
        <f>表单2_清洗!Y49</f>
        <v>5.8018386108273745</v>
      </c>
      <c r="J47" s="28">
        <f>表单2_清洗!Z49</f>
        <v>0.35750766087844743</v>
      </c>
      <c r="K47" s="28">
        <f>表单2_清洗!AA49</f>
        <v>0</v>
      </c>
      <c r="L47" s="28">
        <f>表单2_清洗!AB49</f>
        <v>1.18488253319714</v>
      </c>
      <c r="M47" s="28">
        <f>表单2_清洗!AC49</f>
        <v>5.781409601634321</v>
      </c>
      <c r="N47" s="28">
        <f>表单2_清洗!AD49</f>
        <v>0</v>
      </c>
      <c r="O47" s="28">
        <f>表单2_清洗!AE49</f>
        <v>2.7783452502553629</v>
      </c>
      <c r="P47" s="28">
        <f>表单2_清洗!AF49</f>
        <v>20.551583248212467</v>
      </c>
      <c r="Q47" s="28">
        <f>表单2_清洗!AG49</f>
        <v>11.113381001021452</v>
      </c>
      <c r="R47" s="28">
        <f>表单2_清洗!AH49</f>
        <v>0</v>
      </c>
      <c r="S47" s="28">
        <f>表单2_清洗!AI49</f>
        <v>0</v>
      </c>
      <c r="T47" s="28">
        <f>表单2_清洗!AJ49</f>
        <v>0</v>
      </c>
      <c r="U47" s="28">
        <f>表单2_清洗!AK49</f>
        <v>0</v>
      </c>
      <c r="V47" s="28">
        <f>表单2_清洗!AL49</f>
        <v>100</v>
      </c>
    </row>
    <row r="48" spans="1:22">
      <c r="A48" s="26" t="s">
        <v>107</v>
      </c>
      <c r="B48" s="26" t="s">
        <v>60</v>
      </c>
      <c r="C48" t="str">
        <f>表单2_清洗!Q50</f>
        <v>不同部位</v>
      </c>
      <c r="D48" t="str">
        <f>表单2_清洗!R50</f>
        <v>铅钡</v>
      </c>
      <c r="E48" t="str">
        <f>表单2_清洗!T50</f>
        <v>风化</v>
      </c>
      <c r="F48" s="27">
        <f>表单2_清洗!U50</f>
        <v>94.68</v>
      </c>
      <c r="G48" s="32">
        <f>表单2_清洗!W50</f>
        <v>5</v>
      </c>
      <c r="H48" s="28">
        <f>表单2_清洗!X50</f>
        <v>13.107308829742289</v>
      </c>
      <c r="I48" s="28">
        <f>表单2_清洗!Y50</f>
        <v>0</v>
      </c>
      <c r="J48" s="28">
        <f>表单2_清洗!Z50</f>
        <v>0</v>
      </c>
      <c r="K48" s="28">
        <f>表单2_清洗!AA50</f>
        <v>5.5344317701732146</v>
      </c>
      <c r="L48" s="28">
        <f>表单2_清洗!AB50</f>
        <v>0.94000844951415274</v>
      </c>
      <c r="M48" s="28">
        <f>表单2_清洗!AC50</f>
        <v>2.376425855513308</v>
      </c>
      <c r="N48" s="28">
        <f>表单2_清洗!AD50</f>
        <v>0.80270384452893961</v>
      </c>
      <c r="O48" s="28">
        <f>表单2_清洗!AE50</f>
        <v>5.6506125897760873</v>
      </c>
      <c r="P48" s="28">
        <f>表单2_清洗!AF50</f>
        <v>63.21292775665399</v>
      </c>
      <c r="Q48" s="28">
        <f>表单2_清洗!AG50</f>
        <v>7.6996197718631167</v>
      </c>
      <c r="R48" s="28">
        <f>表单2_清洗!AH50</f>
        <v>0</v>
      </c>
      <c r="S48" s="28">
        <f>表单2_清洗!AI50</f>
        <v>0.67596113223489651</v>
      </c>
      <c r="T48" s="28">
        <f>表单2_清洗!AJ50</f>
        <v>0</v>
      </c>
      <c r="U48" s="28">
        <f>表单2_清洗!AK50</f>
        <v>0</v>
      </c>
      <c r="V48" s="28">
        <f>表单2_清洗!AL50</f>
        <v>100</v>
      </c>
    </row>
    <row r="49" spans="1:22">
      <c r="A49" s="26" t="s">
        <v>108</v>
      </c>
      <c r="B49" s="26" t="s">
        <v>60</v>
      </c>
      <c r="C49" t="str">
        <f>表单2_清洗!Q51</f>
        <v>不同部位</v>
      </c>
      <c r="D49" t="str">
        <f>表单2_清洗!R51</f>
        <v>铅钡</v>
      </c>
      <c r="E49" t="str">
        <f>表单2_清洗!T51</f>
        <v>风化</v>
      </c>
      <c r="F49" s="27">
        <f>表单2_清洗!U51</f>
        <v>96.67</v>
      </c>
      <c r="G49" s="32">
        <f>表单2_清洗!W51</f>
        <v>4</v>
      </c>
      <c r="H49" s="28">
        <f>表单2_清洗!X51</f>
        <v>22.447501810282404</v>
      </c>
      <c r="I49" s="28">
        <f>表单2_清洗!Y51</f>
        <v>0</v>
      </c>
      <c r="J49" s="28">
        <f>表单2_清洗!Z51</f>
        <v>0</v>
      </c>
      <c r="K49" s="28">
        <f>表单2_清洗!AA51</f>
        <v>6.6204613634012626</v>
      </c>
      <c r="L49" s="28">
        <f>表单2_清洗!AB51</f>
        <v>0.98272473362987478</v>
      </c>
      <c r="M49" s="28">
        <f>表单2_清洗!AC51</f>
        <v>3.5274645701872354</v>
      </c>
      <c r="N49" s="28">
        <f>表单2_清洗!AD51</f>
        <v>1.4378814523637116</v>
      </c>
      <c r="O49" s="28">
        <f>表单2_清洗!AE51</f>
        <v>1.5620151029274851</v>
      </c>
      <c r="P49" s="28">
        <f>表单2_清洗!AF51</f>
        <v>46.291507189407263</v>
      </c>
      <c r="Q49" s="28">
        <f>表单2_清洗!AG51</f>
        <v>3.3722975069825174</v>
      </c>
      <c r="R49" s="28">
        <f>表单2_清洗!AH51</f>
        <v>13.271956139443466</v>
      </c>
      <c r="S49" s="28">
        <f>表单2_清洗!AI51</f>
        <v>0.48619013137478012</v>
      </c>
      <c r="T49" s="28">
        <f>表单2_清洗!AJ51</f>
        <v>0</v>
      </c>
      <c r="U49" s="28">
        <f>表单2_清洗!AK51</f>
        <v>0</v>
      </c>
      <c r="V49" s="28">
        <f>表单2_清洗!AL51</f>
        <v>100</v>
      </c>
    </row>
    <row r="50" spans="1:22">
      <c r="A50" s="26" t="s">
        <v>109</v>
      </c>
      <c r="B50" s="26" t="s">
        <v>61</v>
      </c>
      <c r="C50" t="str">
        <f>表单2_清洗!Q52</f>
        <v>未风化点</v>
      </c>
      <c r="D50" t="str">
        <f>表单2_清洗!R52</f>
        <v>铅钡</v>
      </c>
      <c r="E50" t="str">
        <f>表单2_清洗!T52</f>
        <v>无风化</v>
      </c>
      <c r="F50" s="27">
        <f>表单2_清洗!U52</f>
        <v>99.12</v>
      </c>
      <c r="G50" s="32">
        <f>表单2_清洗!W52</f>
        <v>4</v>
      </c>
      <c r="H50" s="28">
        <f>表单2_清洗!X52</f>
        <v>61.279257465698144</v>
      </c>
      <c r="I50" s="28">
        <f>表单2_清洗!Y52</f>
        <v>3.0871670702179177</v>
      </c>
      <c r="J50" s="28">
        <f>表单2_清洗!Z52</f>
        <v>0.20177562550443903</v>
      </c>
      <c r="K50" s="28">
        <f>表单2_清洗!AA52</f>
        <v>2.1589991928974981</v>
      </c>
      <c r="L50" s="28">
        <f>表单2_清洗!AB52</f>
        <v>0</v>
      </c>
      <c r="M50" s="28">
        <f>表单2_清洗!AC52</f>
        <v>12.802663438256657</v>
      </c>
      <c r="N50" s="28">
        <f>表单2_清洗!AD52</f>
        <v>0.7768361581920904</v>
      </c>
      <c r="O50" s="28">
        <f>表单2_清洗!AE52</f>
        <v>0.43381759483454391</v>
      </c>
      <c r="P50" s="28">
        <f>表单2_清洗!AF52</f>
        <v>13.730831315577078</v>
      </c>
      <c r="Q50" s="28">
        <f>表单2_清洗!AG52</f>
        <v>5.2663438256658592</v>
      </c>
      <c r="R50" s="28">
        <f>表单2_清洗!AH52</f>
        <v>0</v>
      </c>
      <c r="S50" s="28">
        <f>表单2_清洗!AI52</f>
        <v>0.2623083131557708</v>
      </c>
      <c r="T50" s="28">
        <f>表单2_清洗!AJ52</f>
        <v>0</v>
      </c>
      <c r="U50" s="28">
        <f>表单2_清洗!AK52</f>
        <v>0</v>
      </c>
      <c r="V50" s="28">
        <f>表单2_清洗!AL52</f>
        <v>100.00000000000001</v>
      </c>
    </row>
    <row r="51" spans="1:22">
      <c r="A51" s="26" t="s">
        <v>62</v>
      </c>
      <c r="B51" s="26" t="s">
        <v>62</v>
      </c>
      <c r="C51" t="str">
        <f>表单2_清洗!Q53</f>
        <v>普通采样点</v>
      </c>
      <c r="D51" t="str">
        <f>表单2_清洗!R53</f>
        <v>铅钡</v>
      </c>
      <c r="E51" t="str">
        <f>表单2_清洗!T53</f>
        <v>无风化</v>
      </c>
      <c r="F51" s="27">
        <f>表单2_清洗!U53</f>
        <v>98.339999999999989</v>
      </c>
      <c r="G51" s="32">
        <f>表单2_清洗!W53</f>
        <v>4</v>
      </c>
      <c r="H51" s="28">
        <f>表单2_清洗!X53</f>
        <v>62.314419361399231</v>
      </c>
      <c r="I51" s="28">
        <f>表单2_清洗!Y53</f>
        <v>2.7049013626194838</v>
      </c>
      <c r="J51" s="28">
        <f>表单2_清洗!Z53</f>
        <v>0.11185682326621926</v>
      </c>
      <c r="K51" s="28">
        <f>表单2_清洗!AA53</f>
        <v>0.85417937766931062</v>
      </c>
      <c r="L51" s="28">
        <f>表单2_清洗!AB53</f>
        <v>0.7524913565182022</v>
      </c>
      <c r="M51" s="28">
        <f>表单2_清洗!AC53</f>
        <v>5.0844010575554206</v>
      </c>
      <c r="N51" s="28">
        <f>表单2_清洗!AD53</f>
        <v>0</v>
      </c>
      <c r="O51" s="28">
        <f>表单2_清洗!AE53</f>
        <v>0.53894651210087463</v>
      </c>
      <c r="P51" s="28">
        <f>表单2_清洗!AF53</f>
        <v>16.259914582062233</v>
      </c>
      <c r="Q51" s="28">
        <f>表单2_清洗!AG53</f>
        <v>11.145007118161484</v>
      </c>
      <c r="R51" s="28">
        <f>表单2_清洗!AH53</f>
        <v>0</v>
      </c>
      <c r="S51" s="28">
        <f>表单2_清洗!AI53</f>
        <v>0.23388244864754934</v>
      </c>
      <c r="T51" s="28">
        <f>表单2_清洗!AJ53</f>
        <v>0</v>
      </c>
      <c r="U51" s="28">
        <f>表单2_清洗!AK53</f>
        <v>0</v>
      </c>
      <c r="V51" s="28">
        <f>表单2_清洗!AL53</f>
        <v>100.00000000000003</v>
      </c>
    </row>
    <row r="52" spans="1:22">
      <c r="A52" s="26" t="s">
        <v>63</v>
      </c>
      <c r="B52" s="26" t="s">
        <v>63</v>
      </c>
      <c r="C52" t="str">
        <f>表单2_清洗!Q54</f>
        <v>普通采样点</v>
      </c>
      <c r="D52" t="str">
        <f>表单2_清洗!R54</f>
        <v>铅钡</v>
      </c>
      <c r="E52" t="str">
        <f>表单2_清洗!T54</f>
        <v>无风化</v>
      </c>
      <c r="F52" s="27">
        <f>表单2_清洗!U54</f>
        <v>98.63000000000001</v>
      </c>
      <c r="G52" s="32">
        <f>表单2_清洗!W54</f>
        <v>5</v>
      </c>
      <c r="H52" s="28">
        <f>表单2_清洗!X54</f>
        <v>55.976883301226799</v>
      </c>
      <c r="I52" s="28">
        <f>表单2_清洗!Y54</f>
        <v>0</v>
      </c>
      <c r="J52" s="28">
        <f>表单2_清洗!Z54</f>
        <v>0.25347257426746428</v>
      </c>
      <c r="K52" s="28">
        <f>表单2_清洗!AA54</f>
        <v>0</v>
      </c>
      <c r="L52" s="28">
        <f>表单2_清洗!AB54</f>
        <v>1.6931967961066612</v>
      </c>
      <c r="M52" s="28">
        <f>表单2_清洗!AC54</f>
        <v>4.8565345229646146</v>
      </c>
      <c r="N52" s="28">
        <f>表单2_清洗!AD54</f>
        <v>0</v>
      </c>
      <c r="O52" s="28">
        <f>表单2_清洗!AE54</f>
        <v>0.78069552874378989</v>
      </c>
      <c r="P52" s="28">
        <f>表单2_清洗!AF54</f>
        <v>25.60073000101389</v>
      </c>
      <c r="Q52" s="28">
        <f>表单2_清洗!AG54</f>
        <v>10.19973638852276</v>
      </c>
      <c r="R52" s="28">
        <f>表单2_清洗!AH54</f>
        <v>0.2027780594139714</v>
      </c>
      <c r="S52" s="28">
        <f>表单2_清洗!AI54</f>
        <v>0.43597282774003848</v>
      </c>
      <c r="T52" s="28">
        <f>表单2_清洗!AJ54</f>
        <v>0</v>
      </c>
      <c r="U52" s="28">
        <f>表单2_清洗!AK54</f>
        <v>0</v>
      </c>
      <c r="V52" s="28">
        <f>表单2_清洗!AL54</f>
        <v>100</v>
      </c>
    </row>
    <row r="53" spans="1:22">
      <c r="A53" s="26" t="s">
        <v>64</v>
      </c>
      <c r="B53" s="26" t="s">
        <v>64</v>
      </c>
      <c r="C53" t="str">
        <f>表单2_清洗!Q55</f>
        <v>普通采样点</v>
      </c>
      <c r="D53" t="str">
        <f>表单2_清洗!R55</f>
        <v>铅钡</v>
      </c>
      <c r="E53" t="str">
        <f>表单2_清洗!T55</f>
        <v>无风化</v>
      </c>
      <c r="F53" s="27">
        <f>表单2_清洗!U55</f>
        <v>97.259999999999991</v>
      </c>
      <c r="G53" s="32">
        <f>表单2_清洗!W55</f>
        <v>3</v>
      </c>
      <c r="H53" s="28">
        <f>表单2_清洗!X55</f>
        <v>52.991980259099321</v>
      </c>
      <c r="I53" s="28">
        <f>表单2_清洗!Y55</f>
        <v>4.7912811022002888</v>
      </c>
      <c r="J53" s="28">
        <f>表单2_清洗!Z55</f>
        <v>0.29816985399958873</v>
      </c>
      <c r="K53" s="28">
        <f>表单2_清洗!AA55</f>
        <v>0.89450956199876619</v>
      </c>
      <c r="L53" s="28">
        <f>表单2_清洗!AB55</f>
        <v>0.62718486530947981</v>
      </c>
      <c r="M53" s="28">
        <f>表单2_清洗!AC55</f>
        <v>3.1462060456508332</v>
      </c>
      <c r="N53" s="28">
        <f>表单2_清洗!AD55</f>
        <v>0</v>
      </c>
      <c r="O53" s="28">
        <f>表单2_清洗!AE55</f>
        <v>0.66831174172321617</v>
      </c>
      <c r="P53" s="28">
        <f>表单2_清洗!AF55</f>
        <v>26.115566522722599</v>
      </c>
      <c r="Q53" s="28">
        <f>表单2_清洗!AG55</f>
        <v>9.4900267324696692</v>
      </c>
      <c r="R53" s="28">
        <f>表单2_清洗!AH55</f>
        <v>0.10281719103434096</v>
      </c>
      <c r="S53" s="28">
        <f>表单2_清洗!AI55</f>
        <v>0.87394612379189796</v>
      </c>
      <c r="T53" s="28">
        <f>表单2_清洗!AJ55</f>
        <v>0</v>
      </c>
      <c r="U53" s="28">
        <f>表单2_清洗!AK55</f>
        <v>0</v>
      </c>
      <c r="V53" s="28">
        <f>表单2_清洗!AL55</f>
        <v>100.00000000000001</v>
      </c>
    </row>
    <row r="54" spans="1:22">
      <c r="A54" s="26" t="s">
        <v>65</v>
      </c>
      <c r="B54" s="26" t="s">
        <v>65</v>
      </c>
      <c r="C54" t="str">
        <f>表单2_清洗!Q56</f>
        <v>普通采样点</v>
      </c>
      <c r="D54" t="str">
        <f>表单2_清洗!R56</f>
        <v>铅钡</v>
      </c>
      <c r="E54" t="str">
        <f>表单2_清洗!T56</f>
        <v>风化</v>
      </c>
      <c r="F54" s="27">
        <f>表单2_清洗!U56</f>
        <v>99.169999999999987</v>
      </c>
      <c r="G54" s="32">
        <f>表单2_清洗!W56</f>
        <v>2</v>
      </c>
      <c r="H54" s="28">
        <f>表单2_清洗!X56</f>
        <v>53.776343652314218</v>
      </c>
      <c r="I54" s="28">
        <f>表单2_清洗!Y56</f>
        <v>0.80669557325804186</v>
      </c>
      <c r="J54" s="28">
        <f>表单2_清洗!Z56</f>
        <v>0.32267822930321677</v>
      </c>
      <c r="K54" s="28">
        <f>表单2_清洗!AA56</f>
        <v>2.8436018957345972</v>
      </c>
      <c r="L54" s="28">
        <f>表单2_清洗!AB56</f>
        <v>1.5528889785217306</v>
      </c>
      <c r="M54" s="28">
        <f>表单2_清洗!AC56</f>
        <v>13.764243218715338</v>
      </c>
      <c r="N54" s="28">
        <f>表单2_清洗!AD56</f>
        <v>1.0386205505697288</v>
      </c>
      <c r="O54" s="28">
        <f>表单2_清洗!AE56</f>
        <v>0</v>
      </c>
      <c r="P54" s="28">
        <f>表单2_清洗!AF56</f>
        <v>15.841484319854798</v>
      </c>
      <c r="Q54" s="28">
        <f>表单2_清洗!AG56</f>
        <v>7.3711808006453561</v>
      </c>
      <c r="R54" s="28">
        <f>表单2_清洗!AH56</f>
        <v>1.1092064132298076</v>
      </c>
      <c r="S54" s="28">
        <f>表单2_清洗!AI56</f>
        <v>0.25209236664313805</v>
      </c>
      <c r="T54" s="28">
        <f>表单2_清洗!AJ56</f>
        <v>1.3209640012100434</v>
      </c>
      <c r="U54" s="28">
        <f>表单2_清洗!AK56</f>
        <v>0</v>
      </c>
      <c r="V54" s="28">
        <f>表单2_清洗!AL56</f>
        <v>100.00000000000003</v>
      </c>
    </row>
    <row r="55" spans="1:22">
      <c r="A55" s="26" t="s">
        <v>66</v>
      </c>
      <c r="B55" s="26" t="s">
        <v>66</v>
      </c>
      <c r="C55" t="str">
        <f>表单2_清洗!Q57</f>
        <v>普通采样点</v>
      </c>
      <c r="D55" t="str">
        <f>表单2_清洗!R57</f>
        <v>铅钡</v>
      </c>
      <c r="E55" t="str">
        <f>表单2_清洗!T57</f>
        <v>风化</v>
      </c>
      <c r="F55" s="27">
        <f>表单2_清洗!U57</f>
        <v>95.499999999999986</v>
      </c>
      <c r="G55" s="32">
        <f>表单2_清洗!W57</f>
        <v>4</v>
      </c>
      <c r="H55" s="28">
        <f>表单2_清洗!X57</f>
        <v>30.146596858638748</v>
      </c>
      <c r="I55" s="28">
        <f>表单2_清洗!Y57</f>
        <v>0</v>
      </c>
      <c r="J55" s="28">
        <f>表单2_清洗!Z57</f>
        <v>0</v>
      </c>
      <c r="K55" s="28">
        <f>表单2_清洗!AA57</f>
        <v>4.7958115183246077</v>
      </c>
      <c r="L55" s="28">
        <f>表单2_清洗!AB57</f>
        <v>1.5392670157068065</v>
      </c>
      <c r="M55" s="28">
        <f>表单2_清洗!AC57</f>
        <v>5.6335078534031418</v>
      </c>
      <c r="N55" s="28">
        <f>表单2_清洗!AD57</f>
        <v>2.8691099476439796</v>
      </c>
      <c r="O55" s="28">
        <f>表单2_清洗!AE57</f>
        <v>0.73298429319371738</v>
      </c>
      <c r="P55" s="28">
        <f>表单2_清洗!AF57</f>
        <v>35.790575916230374</v>
      </c>
      <c r="Q55" s="28">
        <f>表单2_清洗!AG57</f>
        <v>6.3874345549738223</v>
      </c>
      <c r="R55" s="28">
        <f>表单2_清洗!AH57</f>
        <v>11.623036649214662</v>
      </c>
      <c r="S55" s="28">
        <f>表单2_清洗!AI57</f>
        <v>0.48167539267015713</v>
      </c>
      <c r="T55" s="28">
        <f>表单2_清洗!AJ57</f>
        <v>0</v>
      </c>
      <c r="U55" s="28">
        <f>表单2_清洗!AK57</f>
        <v>0</v>
      </c>
      <c r="V55" s="28">
        <f>表单2_清洗!AL57</f>
        <v>100</v>
      </c>
    </row>
    <row r="56" spans="1:22">
      <c r="A56" s="26" t="s">
        <v>110</v>
      </c>
      <c r="B56" s="26" t="s">
        <v>66</v>
      </c>
      <c r="C56" t="str">
        <f>表单2_清洗!Q58</f>
        <v>未风化点</v>
      </c>
      <c r="D56" t="str">
        <f>表单2_清洗!R58</f>
        <v>铅钡</v>
      </c>
      <c r="E56" t="str">
        <f>表单2_清洗!T58</f>
        <v>无风化</v>
      </c>
      <c r="F56" s="27">
        <f>表单2_清洗!U58</f>
        <v>98.24</v>
      </c>
      <c r="G56" s="32">
        <f>表单2_清洗!W58</f>
        <v>3</v>
      </c>
      <c r="H56" s="28">
        <f>表单2_清洗!X58</f>
        <v>55.588355048859938</v>
      </c>
      <c r="I56" s="28">
        <f>表单2_清洗!Y58</f>
        <v>0</v>
      </c>
      <c r="J56" s="28">
        <f>表单2_清洗!Z58</f>
        <v>0.30537459283387625</v>
      </c>
      <c r="K56" s="28">
        <f>表单2_清洗!AA58</f>
        <v>2.1172638436482085</v>
      </c>
      <c r="L56" s="28">
        <f>表单2_清洗!AB58</f>
        <v>1.221498371335505</v>
      </c>
      <c r="M56" s="28">
        <f>表单2_清洗!AC58</f>
        <v>6.6164495114006519</v>
      </c>
      <c r="N56" s="28">
        <f>表单2_清洗!AD58</f>
        <v>1.2927524429967427</v>
      </c>
      <c r="O56" s="28">
        <f>表单2_清洗!AE58</f>
        <v>0.45806188925081437</v>
      </c>
      <c r="P56" s="28">
        <f>表单2_清洗!AF58</f>
        <v>23.432410423452772</v>
      </c>
      <c r="Q56" s="28">
        <f>表单2_清洗!AG58</f>
        <v>4.2650651465798051</v>
      </c>
      <c r="R56" s="28">
        <f>表单2_清洗!AH58</f>
        <v>4.3973941368078178</v>
      </c>
      <c r="S56" s="28">
        <f>表单2_清洗!AI58</f>
        <v>0.30537459283387625</v>
      </c>
      <c r="T56" s="28">
        <f>表单2_清洗!AJ58</f>
        <v>0</v>
      </c>
      <c r="U56" s="28">
        <f>表单2_清洗!AK58</f>
        <v>0</v>
      </c>
      <c r="V56" s="28">
        <f>表单2_清洗!AL58</f>
        <v>100.00000000000001</v>
      </c>
    </row>
    <row r="57" spans="1:22">
      <c r="A57" s="26" t="s">
        <v>68</v>
      </c>
      <c r="B57" s="26" t="s">
        <v>68</v>
      </c>
      <c r="C57" t="str">
        <f>表单2_清洗!Q59</f>
        <v>普通采样点</v>
      </c>
      <c r="D57" t="str">
        <f>表单2_清洗!R59</f>
        <v>铅钡</v>
      </c>
      <c r="E57" t="str">
        <f>表单2_清洗!T59</f>
        <v>风化</v>
      </c>
      <c r="F57" s="27">
        <f>表单2_清洗!U59</f>
        <v>90.17</v>
      </c>
      <c r="G57" s="32">
        <f>表单2_清洗!W59</f>
        <v>4</v>
      </c>
      <c r="H57" s="28">
        <f>表单2_清洗!X59</f>
        <v>19.940113119662858</v>
      </c>
      <c r="I57" s="28">
        <f>表单2_清洗!Y59</f>
        <v>0</v>
      </c>
      <c r="J57" s="28">
        <f>表单2_清洗!Z59</f>
        <v>0</v>
      </c>
      <c r="K57" s="28">
        <f>表单2_清洗!AA59</f>
        <v>3.5377620051014746</v>
      </c>
      <c r="L57" s="28">
        <f>表单2_清洗!AB59</f>
        <v>0.52123766219363421</v>
      </c>
      <c r="M57" s="28">
        <f>表单2_清洗!AC59</f>
        <v>2.0738604857491403</v>
      </c>
      <c r="N57" s="28">
        <f>表单2_清洗!AD59</f>
        <v>0.36597537983808365</v>
      </c>
      <c r="O57" s="28">
        <f>表单2_清洗!AE59</f>
        <v>1.2531884218698013</v>
      </c>
      <c r="P57" s="28">
        <f>表单2_清洗!AF59</f>
        <v>48.79671731174448</v>
      </c>
      <c r="Q57" s="28">
        <f>表单2_清洗!AG59</f>
        <v>15.748031496062993</v>
      </c>
      <c r="R57" s="28">
        <f>表单2_清洗!AH59</f>
        <v>7.0311633581013639</v>
      </c>
      <c r="S57" s="28">
        <f>表单2_清洗!AI59</f>
        <v>0.7319507596761673</v>
      </c>
      <c r="T57" s="28">
        <f>表单2_清洗!AJ59</f>
        <v>0</v>
      </c>
      <c r="U57" s="28">
        <f>表单2_清洗!AK59</f>
        <v>0</v>
      </c>
      <c r="V57" s="28">
        <f>表单2_清洗!AL59</f>
        <v>100</v>
      </c>
    </row>
    <row r="58" spans="1:22">
      <c r="A58" s="26" t="s">
        <v>111</v>
      </c>
      <c r="B58" s="26" t="s">
        <v>68</v>
      </c>
      <c r="C58" t="str">
        <f>表单2_清洗!Q60</f>
        <v>未风化点</v>
      </c>
      <c r="D58" t="str">
        <f>表单2_清洗!R60</f>
        <v>铅钡</v>
      </c>
      <c r="E58" t="str">
        <f>表单2_清洗!T60</f>
        <v>无风化</v>
      </c>
      <c r="F58" s="27">
        <f>表单2_清洗!U60</f>
        <v>96.940000000000012</v>
      </c>
      <c r="G58" s="32">
        <f>表单2_清洗!W60</f>
        <v>5</v>
      </c>
      <c r="H58" s="28">
        <f>表单2_清洗!X60</f>
        <v>46.441097586135747</v>
      </c>
      <c r="I58" s="28">
        <f>表单2_清洗!Y60</f>
        <v>0</v>
      </c>
      <c r="J58" s="28">
        <f>表单2_清洗!Z60</f>
        <v>0</v>
      </c>
      <c r="K58" s="28">
        <f>表单2_清洗!AA60</f>
        <v>3.2184856612337525</v>
      </c>
      <c r="L58" s="28">
        <f>表单2_清洗!AB60</f>
        <v>0.55704559521353414</v>
      </c>
      <c r="M58" s="28">
        <f>表单2_清洗!AC60</f>
        <v>4.2913142149783372</v>
      </c>
      <c r="N58" s="28">
        <f>表单2_清洗!AD60</f>
        <v>0</v>
      </c>
      <c r="O58" s="28">
        <f>表单2_清洗!AE60</f>
        <v>0.72209614194347005</v>
      </c>
      <c r="P58" s="28">
        <f>表单2_清洗!AF60</f>
        <v>31.576232721270888</v>
      </c>
      <c r="Q58" s="28">
        <f>表单2_清洗!AG60</f>
        <v>6.4163400041262628</v>
      </c>
      <c r="R58" s="28">
        <f>表单2_清洗!AH60</f>
        <v>6.5401279141737145</v>
      </c>
      <c r="S58" s="28">
        <f>表单2_清洗!AI60</f>
        <v>0.23726016092428304</v>
      </c>
      <c r="T58" s="28">
        <f>表单2_清洗!AJ60</f>
        <v>0</v>
      </c>
      <c r="U58" s="28">
        <f>表单2_清洗!AK60</f>
        <v>0</v>
      </c>
      <c r="V58" s="28">
        <f>表单2_清洗!AL60</f>
        <v>99.999999999999986</v>
      </c>
    </row>
    <row r="59" spans="1:22">
      <c r="A59" s="26" t="s">
        <v>112</v>
      </c>
      <c r="B59" s="26" t="s">
        <v>69</v>
      </c>
      <c r="C59" t="str">
        <f>表单2_清洗!Q61</f>
        <v>不同部位</v>
      </c>
      <c r="D59" t="str">
        <f>表单2_清洗!R61</f>
        <v>铅钡</v>
      </c>
      <c r="E59" t="str">
        <f>表单2_清洗!T61</f>
        <v>风化</v>
      </c>
      <c r="F59" s="27">
        <f>表单2_清洗!U61</f>
        <v>95.329999999999984</v>
      </c>
      <c r="G59" s="32">
        <f>表单2_清洗!W61</f>
        <v>3</v>
      </c>
      <c r="H59" s="28">
        <f>表单2_清洗!X61</f>
        <v>25.815587957620899</v>
      </c>
      <c r="I59" s="28">
        <f>表单2_清洗!Y61</f>
        <v>0</v>
      </c>
      <c r="J59" s="28">
        <f>表单2_清洗!Z61</f>
        <v>0</v>
      </c>
      <c r="K59" s="28">
        <f>表单2_清洗!AA61</f>
        <v>3.7553760621000745</v>
      </c>
      <c r="L59" s="28">
        <f>表单2_清洗!AB61</f>
        <v>1.2482953949438793</v>
      </c>
      <c r="M59" s="28">
        <f>表单2_清洗!AC61</f>
        <v>5.5071855659288795</v>
      </c>
      <c r="N59" s="28">
        <f>表单2_清洗!AD61</f>
        <v>1.2482953949438793</v>
      </c>
      <c r="O59" s="28">
        <f>表单2_清洗!AE61</f>
        <v>1.4371131857757269</v>
      </c>
      <c r="P59" s="28">
        <f>表单2_清洗!AF61</f>
        <v>42.21126612818631</v>
      </c>
      <c r="Q59" s="28">
        <f>表单2_清洗!AG61</f>
        <v>9.3779502779817481</v>
      </c>
      <c r="R59" s="28">
        <f>表单2_清洗!AH61</f>
        <v>8.4968005874331283</v>
      </c>
      <c r="S59" s="28">
        <f>表单2_清洗!AI61</f>
        <v>0.40910521346900253</v>
      </c>
      <c r="T59" s="28">
        <f>表单2_清洗!AJ61</f>
        <v>0.49302423161649012</v>
      </c>
      <c r="U59" s="28">
        <f>表单2_清洗!AK61</f>
        <v>0</v>
      </c>
      <c r="V59" s="28">
        <f>表单2_清洗!AL61</f>
        <v>100.00000000000003</v>
      </c>
    </row>
    <row r="60" spans="1:22">
      <c r="A60" s="26" t="s">
        <v>113</v>
      </c>
      <c r="B60" s="26" t="s">
        <v>69</v>
      </c>
      <c r="C60" t="str">
        <f>表单2_清洗!Q62</f>
        <v>不同部位</v>
      </c>
      <c r="D60" t="str">
        <f>表单2_清洗!R62</f>
        <v>铅钡</v>
      </c>
      <c r="E60" t="str">
        <f>表单2_清洗!T62</f>
        <v>风化</v>
      </c>
      <c r="F60" s="27">
        <f>表单2_清洗!U62</f>
        <v>91.7</v>
      </c>
      <c r="G60" s="32">
        <f>表单2_清洗!W62</f>
        <v>6</v>
      </c>
      <c r="H60" s="28">
        <f>表单2_清洗!X62</f>
        <v>23.282442748091604</v>
      </c>
      <c r="I60" s="28">
        <f>表单2_清洗!Y62</f>
        <v>0</v>
      </c>
      <c r="J60" s="28">
        <f>表单2_清洗!Z62</f>
        <v>0</v>
      </c>
      <c r="K60" s="28">
        <f>表单2_清洗!AA62</f>
        <v>5.5943293347873499</v>
      </c>
      <c r="L60" s="28">
        <f>表单2_清洗!AB62</f>
        <v>1.5812431842966193</v>
      </c>
      <c r="M60" s="28">
        <f>表单2_清洗!AC62</f>
        <v>2.7371864776444923</v>
      </c>
      <c r="N60" s="28">
        <f>表单2_清洗!AD62</f>
        <v>0.45801526717557245</v>
      </c>
      <c r="O60" s="28">
        <f>表单2_清洗!AE62</f>
        <v>0.81788440567066523</v>
      </c>
      <c r="P60" s="28">
        <f>表单2_清洗!AF62</f>
        <v>55.986913849509264</v>
      </c>
      <c r="Q60" s="28">
        <f>表单2_清洗!AG62</f>
        <v>0</v>
      </c>
      <c r="R60" s="28">
        <f>表单2_清洗!AH62</f>
        <v>9.5419847328244263</v>
      </c>
      <c r="S60" s="28">
        <f>表单2_清洗!AI62</f>
        <v>0</v>
      </c>
      <c r="T60" s="28">
        <f>表单2_清洗!AJ62</f>
        <v>0</v>
      </c>
      <c r="U60" s="28">
        <f>表单2_清洗!AK62</f>
        <v>0</v>
      </c>
      <c r="V60" s="28">
        <f>表单2_清洗!AL62</f>
        <v>100</v>
      </c>
    </row>
    <row r="61" spans="1:22">
      <c r="A61" s="26" t="s">
        <v>70</v>
      </c>
      <c r="B61" s="26" t="s">
        <v>70</v>
      </c>
      <c r="C61" t="str">
        <f>表单2_清洗!Q63</f>
        <v>普通采样点</v>
      </c>
      <c r="D61" t="str">
        <f>表单2_清洗!R63</f>
        <v>铅钡</v>
      </c>
      <c r="E61" t="str">
        <f>表单2_清洗!T63</f>
        <v>风化</v>
      </c>
      <c r="F61" s="27">
        <f>表单2_清洗!U63</f>
        <v>94.079999999999984</v>
      </c>
      <c r="G61" s="32">
        <f>表单2_清洗!W63</f>
        <v>3</v>
      </c>
      <c r="H61" s="28">
        <f>表单2_清洗!X63</f>
        <v>27.359693877551024</v>
      </c>
      <c r="I61" s="28">
        <f>表单2_清洗!Y63</f>
        <v>1.2967687074829934</v>
      </c>
      <c r="J61" s="28">
        <f>表单2_清洗!Z63</f>
        <v>0</v>
      </c>
      <c r="K61" s="28">
        <f>表单2_清洗!AA63</f>
        <v>2.4128401360544225</v>
      </c>
      <c r="L61" s="28">
        <f>表单2_清洗!AB63</f>
        <v>0.58460884353741505</v>
      </c>
      <c r="M61" s="28">
        <f>表单2_清洗!AC63</f>
        <v>1.2329931972789117</v>
      </c>
      <c r="N61" s="28">
        <f>表单2_清洗!AD63</f>
        <v>0.24447278911564632</v>
      </c>
      <c r="O61" s="28">
        <f>表单2_清洗!AE63</f>
        <v>0.74404761904761907</v>
      </c>
      <c r="P61" s="28">
        <f>表单2_清洗!AF63</f>
        <v>50.403911564625858</v>
      </c>
      <c r="Q61" s="28">
        <f>表单2_清洗!AG63</f>
        <v>9.1836734693877577</v>
      </c>
      <c r="R61" s="28">
        <f>表单2_清洗!AH63</f>
        <v>6.0693027210884365</v>
      </c>
      <c r="S61" s="28">
        <f>表单2_清洗!AI63</f>
        <v>0.46768707482993205</v>
      </c>
      <c r="T61" s="28">
        <f>表单2_清洗!AJ63</f>
        <v>0</v>
      </c>
      <c r="U61" s="28">
        <f>表单2_清洗!AK63</f>
        <v>0</v>
      </c>
      <c r="V61" s="28">
        <f>表单2_清洗!AL63</f>
        <v>100</v>
      </c>
    </row>
    <row r="62" spans="1:22">
      <c r="A62" s="26" t="s">
        <v>114</v>
      </c>
      <c r="B62" s="26" t="s">
        <v>71</v>
      </c>
      <c r="C62" t="str">
        <f>表单2_清洗!Q64</f>
        <v>未风化点</v>
      </c>
      <c r="D62" t="str">
        <f>表单2_清洗!R64</f>
        <v>铅钡</v>
      </c>
      <c r="E62" t="str">
        <f>表单2_清洗!T64</f>
        <v>无风化</v>
      </c>
      <c r="F62" s="27">
        <f>表单2_清洗!U64</f>
        <v>98.25</v>
      </c>
      <c r="G62" s="32">
        <f>表单2_清洗!W64</f>
        <v>4</v>
      </c>
      <c r="H62" s="28">
        <f>表单2_清洗!X64</f>
        <v>64.793893129770979</v>
      </c>
      <c r="I62" s="28">
        <f>表单2_清洗!Y64</f>
        <v>3.0941475826972011</v>
      </c>
      <c r="J62" s="28">
        <f>表单2_清洗!Z64</f>
        <v>0.1119592875318066</v>
      </c>
      <c r="K62" s="28">
        <f>表单2_清洗!AA64</f>
        <v>0.79389312977099247</v>
      </c>
      <c r="L62" s="28">
        <f>表单2_清洗!AB64</f>
        <v>1.1603053435114501</v>
      </c>
      <c r="M62" s="28">
        <f>表单2_清洗!AC64</f>
        <v>6.1679389312977095</v>
      </c>
      <c r="N62" s="28">
        <f>表单2_清洗!AD64</f>
        <v>0</v>
      </c>
      <c r="O62" s="28">
        <f>表单2_清洗!AE64</f>
        <v>0.54961832061068705</v>
      </c>
      <c r="P62" s="28">
        <f>表单2_清洗!AF64</f>
        <v>13.903307888040711</v>
      </c>
      <c r="Q62" s="28">
        <f>表单2_清洗!AG64</f>
        <v>9.1501272264631055</v>
      </c>
      <c r="R62" s="28">
        <f>表单2_清洗!AH64</f>
        <v>0</v>
      </c>
      <c r="S62" s="28">
        <f>表单2_清洗!AI64</f>
        <v>0.27480916030534353</v>
      </c>
      <c r="T62" s="28">
        <f>表单2_清洗!AJ64</f>
        <v>0</v>
      </c>
      <c r="U62" s="28">
        <f>表单2_清洗!AK64</f>
        <v>0</v>
      </c>
      <c r="V62" s="28">
        <f>表单2_清洗!AL64</f>
        <v>99.999999999999986</v>
      </c>
    </row>
    <row r="63" spans="1:22">
      <c r="A63" s="26" t="s">
        <v>72</v>
      </c>
      <c r="B63" s="26" t="s">
        <v>72</v>
      </c>
      <c r="C63" t="str">
        <f>表单2_清洗!Q65</f>
        <v>普通采样点</v>
      </c>
      <c r="D63" t="str">
        <f>表单2_清洗!R65</f>
        <v>铅钡</v>
      </c>
      <c r="E63" t="str">
        <f>表单2_清洗!T65</f>
        <v>风化</v>
      </c>
      <c r="F63" s="27">
        <f>表单2_清洗!U65</f>
        <v>99.67</v>
      </c>
      <c r="G63" s="32">
        <f>表单2_清洗!W65</f>
        <v>4</v>
      </c>
      <c r="H63" s="28">
        <f>表单2_清洗!X65</f>
        <v>22.353767432527341</v>
      </c>
      <c r="I63" s="28">
        <f>表单2_清洗!Y65</f>
        <v>0</v>
      </c>
      <c r="J63" s="28">
        <f>表单2_清洗!Z65</f>
        <v>0.32105949633791514</v>
      </c>
      <c r="K63" s="28">
        <f>表单2_清洗!AA65</f>
        <v>3.2005618541185914</v>
      </c>
      <c r="L63" s="28">
        <f>表单2_清洗!AB65</f>
        <v>1.2842379853516606</v>
      </c>
      <c r="M63" s="28">
        <f>表单2_清洗!AC65</f>
        <v>4.1637403431323365</v>
      </c>
      <c r="N63" s="28">
        <f>表单2_清洗!AD65</f>
        <v>0</v>
      </c>
      <c r="O63" s="28">
        <f>表单2_清洗!AE65</f>
        <v>0.83274806862646733</v>
      </c>
      <c r="P63" s="28">
        <f>表单2_清洗!AF65</f>
        <v>55.643623959064911</v>
      </c>
      <c r="Q63" s="28">
        <f>表单2_清洗!AG65</f>
        <v>7.0633089194341334</v>
      </c>
      <c r="R63" s="28">
        <f>表单2_清洗!AH65</f>
        <v>4.2540383264773753</v>
      </c>
      <c r="S63" s="28">
        <f>表单2_清洗!AI65</f>
        <v>0.88291361492926668</v>
      </c>
      <c r="T63" s="28">
        <f>表单2_清洗!AJ65</f>
        <v>0</v>
      </c>
      <c r="U63" s="28">
        <f>表单2_清洗!AK65</f>
        <v>0</v>
      </c>
      <c r="V63" s="28">
        <f>表单2_清洗!AL65</f>
        <v>99.999999999999986</v>
      </c>
    </row>
    <row r="64" spans="1:22">
      <c r="A64" s="26" t="s">
        <v>115</v>
      </c>
      <c r="B64" s="26" t="s">
        <v>72</v>
      </c>
      <c r="C64" t="str">
        <f>表单2_清洗!Q66</f>
        <v>严重风化点</v>
      </c>
      <c r="D64" t="str">
        <f>表单2_清洗!R66</f>
        <v>铅钡</v>
      </c>
      <c r="E64" t="str">
        <f>表单2_清洗!T66</f>
        <v>风化</v>
      </c>
      <c r="F64" s="27">
        <f>表单2_清洗!U66</f>
        <v>96.92</v>
      </c>
      <c r="G64" s="32">
        <f>表单2_清洗!W66</f>
        <v>7</v>
      </c>
      <c r="H64" s="28">
        <f>表单2_清洗!X66</f>
        <v>17.653735039207593</v>
      </c>
      <c r="I64" s="28">
        <f>表单2_清洗!Y66</f>
        <v>0</v>
      </c>
      <c r="J64" s="28">
        <f>表单2_清洗!Z66</f>
        <v>0</v>
      </c>
      <c r="K64" s="28">
        <f>表单2_清洗!AA66</f>
        <v>0</v>
      </c>
      <c r="L64" s="28">
        <f>表单2_清洗!AB66</f>
        <v>1.1452744531572432</v>
      </c>
      <c r="M64" s="28">
        <f>表单2_清洗!AC66</f>
        <v>3.765992571192736</v>
      </c>
      <c r="N64" s="28">
        <f>表单2_清洗!AD66</f>
        <v>0</v>
      </c>
      <c r="O64" s="28">
        <f>表单2_清洗!AE66</f>
        <v>1.3825835740817169</v>
      </c>
      <c r="P64" s="28">
        <f>表单2_清洗!AF66</f>
        <v>60.317787866281471</v>
      </c>
      <c r="Q64" s="28">
        <f>表单2_清洗!AG66</f>
        <v>0</v>
      </c>
      <c r="R64" s="28">
        <f>表单2_清洗!AH66</f>
        <v>14.579034255055717</v>
      </c>
      <c r="S64" s="28">
        <f>表单2_清洗!AI66</f>
        <v>1.1555922410235246</v>
      </c>
      <c r="T64" s="28">
        <f>表单2_清洗!AJ66</f>
        <v>0</v>
      </c>
      <c r="U64" s="28">
        <f>表单2_清洗!AK66</f>
        <v>0</v>
      </c>
      <c r="V64" s="28">
        <f>表单2_清洗!AL66</f>
        <v>100</v>
      </c>
    </row>
    <row r="65" spans="1:22">
      <c r="A65" s="26" t="s">
        <v>73</v>
      </c>
      <c r="B65" s="26" t="s">
        <v>73</v>
      </c>
      <c r="C65" t="str">
        <f>表单2_清洗!Q67</f>
        <v>普通采样点</v>
      </c>
      <c r="D65" t="str">
        <f>表单2_清洗!R67</f>
        <v>铅钡</v>
      </c>
      <c r="E65" t="str">
        <f>表单2_清洗!T67</f>
        <v>无风化</v>
      </c>
      <c r="F65" s="27">
        <f>表单2_清洗!U67</f>
        <v>96.38000000000001</v>
      </c>
      <c r="G65" s="32">
        <f>表单2_清洗!W67</f>
        <v>6</v>
      </c>
      <c r="H65" s="28">
        <f>表单2_清洗!X67</f>
        <v>50.850798920937947</v>
      </c>
      <c r="I65" s="28">
        <f>表单2_清洗!Y67</f>
        <v>2.8117866777339695</v>
      </c>
      <c r="J65" s="28">
        <f>表单2_清洗!Z67</f>
        <v>0</v>
      </c>
      <c r="K65" s="28">
        <f>表单2_清洗!AA67</f>
        <v>1.1724424154388875</v>
      </c>
      <c r="L65" s="28">
        <f>表单2_清洗!AB67</f>
        <v>0</v>
      </c>
      <c r="M65" s="28">
        <f>表单2_清洗!AC67</f>
        <v>1.5044615065366256</v>
      </c>
      <c r="N65" s="28">
        <f>表单2_清洗!AD67</f>
        <v>0</v>
      </c>
      <c r="O65" s="28">
        <f>表单2_清洗!AE67</f>
        <v>0.8923013073251711</v>
      </c>
      <c r="P65" s="28">
        <f>表单2_清洗!AF67</f>
        <v>34.156463996679811</v>
      </c>
      <c r="Q65" s="28">
        <f>表单2_清洗!AG67</f>
        <v>8.2485992944594315</v>
      </c>
      <c r="R65" s="28">
        <f>表单2_清洗!AH67</f>
        <v>0.36314588088815103</v>
      </c>
      <c r="S65" s="28">
        <f>表单2_清洗!AI67</f>
        <v>0</v>
      </c>
      <c r="T65" s="28">
        <f>表单2_清洗!AJ67</f>
        <v>0</v>
      </c>
      <c r="U65" s="28">
        <f>表单2_清洗!AK67</f>
        <v>0</v>
      </c>
      <c r="V65" s="28">
        <f>表单2_清洗!AL67</f>
        <v>100.00000000000001</v>
      </c>
    </row>
    <row r="66" spans="1:22">
      <c r="A66" s="26" t="s">
        <v>75</v>
      </c>
      <c r="B66" s="26" t="s">
        <v>75</v>
      </c>
      <c r="C66" t="str">
        <f>表单2_清洗!Q68</f>
        <v>普通采样点</v>
      </c>
      <c r="D66" t="str">
        <f>表单2_清洗!R68</f>
        <v>铅钡</v>
      </c>
      <c r="E66" t="str">
        <f>表单2_清洗!T68</f>
        <v>风化</v>
      </c>
      <c r="F66" s="27">
        <f>表单2_清洗!U68</f>
        <v>92.240000000000009</v>
      </c>
      <c r="G66" s="32">
        <f>表单2_清洗!W68</f>
        <v>7</v>
      </c>
      <c r="H66" s="28">
        <f>表单2_清洗!X68</f>
        <v>31.602341717259318</v>
      </c>
      <c r="I66" s="28">
        <f>表单2_清洗!Y68</f>
        <v>0</v>
      </c>
      <c r="J66" s="28">
        <f>表单2_清洗!Z68</f>
        <v>0</v>
      </c>
      <c r="K66" s="28">
        <f>表单2_清洗!AA68</f>
        <v>1.3117953165654812</v>
      </c>
      <c r="L66" s="28">
        <f>表单2_清洗!AB68</f>
        <v>0</v>
      </c>
      <c r="M66" s="28">
        <f>表单2_清洗!AC68</f>
        <v>2.005637467476149</v>
      </c>
      <c r="N66" s="28">
        <f>表单2_清洗!AD68</f>
        <v>0</v>
      </c>
      <c r="O66" s="28">
        <f>表单2_清洗!AE68</f>
        <v>0.8564614050303555</v>
      </c>
      <c r="P66" s="28">
        <f>表单2_清洗!AF68</f>
        <v>44.720294882914132</v>
      </c>
      <c r="Q66" s="28">
        <f>表单2_清洗!AG68</f>
        <v>16.749783174327838</v>
      </c>
      <c r="R66" s="28">
        <f>表单2_清洗!AH68</f>
        <v>2.7536860364267128</v>
      </c>
      <c r="S66" s="28">
        <f>表单2_清洗!AI68</f>
        <v>0</v>
      </c>
      <c r="T66" s="28">
        <f>表单2_清洗!AJ68</f>
        <v>0</v>
      </c>
      <c r="U66" s="28">
        <f>表单2_清洗!AK68</f>
        <v>0</v>
      </c>
      <c r="V66" s="28">
        <f>表单2_清洗!AL68</f>
        <v>99.999999999999986</v>
      </c>
    </row>
    <row r="67" spans="1:22">
      <c r="A67" s="26" t="s">
        <v>76</v>
      </c>
      <c r="B67" s="26" t="s">
        <v>76</v>
      </c>
      <c r="C67" t="str">
        <f>表单2_清洗!Q69</f>
        <v>普通采样点</v>
      </c>
      <c r="D67" t="str">
        <f>表单2_清洗!R69</f>
        <v>铅钡</v>
      </c>
      <c r="E67" t="str">
        <f>表单2_清洗!T69</f>
        <v>风化</v>
      </c>
      <c r="F67" s="27">
        <f>表单2_清洗!U69</f>
        <v>92.47</v>
      </c>
      <c r="G67" s="32">
        <f>表单2_清洗!W69</f>
        <v>8</v>
      </c>
      <c r="H67" s="28">
        <f>表单2_清洗!X69</f>
        <v>27.489996755704553</v>
      </c>
      <c r="I67" s="28">
        <f>表单2_清洗!Y69</f>
        <v>0</v>
      </c>
      <c r="J67" s="28">
        <f>表单2_清洗!Z69</f>
        <v>0</v>
      </c>
      <c r="K67" s="28">
        <f>表单2_清洗!AA69</f>
        <v>1.4166756785984644</v>
      </c>
      <c r="L67" s="28">
        <f>表单2_清洗!AB69</f>
        <v>0</v>
      </c>
      <c r="M67" s="28">
        <f>表单2_清洗!AC69</f>
        <v>2.3575213582783605</v>
      </c>
      <c r="N67" s="28">
        <f>表单2_清洗!AD69</f>
        <v>0</v>
      </c>
      <c r="O67" s="28">
        <f>表单2_清洗!AE69</f>
        <v>1.2544609062398615</v>
      </c>
      <c r="P67" s="28">
        <f>表单2_清洗!AF69</f>
        <v>48.77257488915324</v>
      </c>
      <c r="Q67" s="28">
        <f>表单2_清洗!AG69</f>
        <v>18.708770412025522</v>
      </c>
      <c r="R67" s="28">
        <f>表单2_清洗!AH69</f>
        <v>0</v>
      </c>
      <c r="S67" s="28">
        <f>表单2_清洗!AI69</f>
        <v>0</v>
      </c>
      <c r="T67" s="28">
        <f>表单2_清洗!AJ69</f>
        <v>0</v>
      </c>
      <c r="U67" s="28">
        <f>表单2_清洗!AK69</f>
        <v>0</v>
      </c>
      <c r="V67" s="28">
        <f>表单2_清洗!AL69</f>
        <v>100</v>
      </c>
    </row>
    <row r="68" spans="1:22">
      <c r="A68" s="26" t="s">
        <v>77</v>
      </c>
      <c r="B68" s="26" t="s">
        <v>77</v>
      </c>
      <c r="C68" t="str">
        <f>表单2_清洗!Q70</f>
        <v>普通采样点</v>
      </c>
      <c r="D68" t="str">
        <f>表单2_清洗!R70</f>
        <v>铅钡</v>
      </c>
      <c r="E68" t="str">
        <f>表单2_清洗!T70</f>
        <v>风化</v>
      </c>
      <c r="F68" s="27">
        <f>表单2_清洗!U70</f>
        <v>98.759999999999991</v>
      </c>
      <c r="G68" s="32">
        <f>表单2_清洗!W70</f>
        <v>3</v>
      </c>
      <c r="H68" s="28">
        <f>表单2_清洗!X70</f>
        <v>30.771567436208997</v>
      </c>
      <c r="I68" s="28">
        <f>表单2_清洗!Y70</f>
        <v>0</v>
      </c>
      <c r="J68" s="28">
        <f>表单2_清洗!Z70</f>
        <v>0.34426893479141357</v>
      </c>
      <c r="K68" s="28">
        <f>表单2_清洗!AA70</f>
        <v>3.533819360064804</v>
      </c>
      <c r="L68" s="28">
        <f>表单2_清洗!AB70</f>
        <v>0.7999189955447551</v>
      </c>
      <c r="M68" s="28">
        <f>表单2_清洗!AC70</f>
        <v>3.5641960307816931</v>
      </c>
      <c r="N68" s="28">
        <f>表单2_清洗!AD70</f>
        <v>0.87079789388416362</v>
      </c>
      <c r="O68" s="28">
        <f>表单2_清洗!AE70</f>
        <v>3.1692993114621308</v>
      </c>
      <c r="P68" s="28">
        <f>表单2_清洗!AF70</f>
        <v>39.84406642365331</v>
      </c>
      <c r="Q68" s="28">
        <f>表单2_清洗!AG70</f>
        <v>7.7561765897124353</v>
      </c>
      <c r="R68" s="28">
        <f>表单2_清洗!AH70</f>
        <v>9.1028756581611994</v>
      </c>
      <c r="S68" s="28">
        <f>表单2_清洗!AI70</f>
        <v>0.24301336573511545</v>
      </c>
      <c r="T68" s="28">
        <f>表单2_清洗!AJ70</f>
        <v>0</v>
      </c>
      <c r="U68" s="28">
        <f>表单2_清洗!AK70</f>
        <v>0</v>
      </c>
      <c r="V68" s="28">
        <f>表单2_清洗!AL70</f>
        <v>100.00000000000001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workbookViewId="0">
      <selection activeCell="A26" sqref="A26"/>
    </sheetView>
  </sheetViews>
  <sheetFormatPr baseColWidth="10" defaultColWidth="8.83203125" defaultRowHeight="14"/>
  <cols>
    <col min="1" max="1" width="25" customWidth="1"/>
    <col min="2" max="2" width="27" customWidth="1"/>
    <col min="3" max="3" width="18" customWidth="1"/>
    <col min="4" max="4" width="38" customWidth="1"/>
  </cols>
  <sheetData>
    <row r="1" spans="1:4" ht="34" customHeight="1">
      <c r="A1" s="44" t="s">
        <v>180</v>
      </c>
      <c r="B1" s="44"/>
      <c r="C1" s="44"/>
      <c r="D1" s="44"/>
    </row>
    <row r="3" spans="1:4">
      <c r="A3" s="34" t="s">
        <v>181</v>
      </c>
      <c r="B3" s="34" t="s">
        <v>182</v>
      </c>
      <c r="C3" s="34" t="s">
        <v>183</v>
      </c>
      <c r="D3" s="34" t="s">
        <v>184</v>
      </c>
    </row>
    <row r="4" spans="1:4">
      <c r="A4" s="35" t="s">
        <v>185</v>
      </c>
      <c r="B4" s="36">
        <f>COUNTA(表单1_清洗!$A$2:$A$59)</f>
        <v>58</v>
      </c>
      <c r="C4" s="36">
        <v>58</v>
      </c>
      <c r="D4" s="37" t="str">
        <f t="shared" ref="D4:D19" si="0">IF(B4=C4,"通过","检查")</f>
        <v>通过</v>
      </c>
    </row>
    <row r="5" spans="1:4">
      <c r="A5" s="38" t="s">
        <v>186</v>
      </c>
      <c r="B5" s="39">
        <f>COUNTIF(表单1_清洗!$C$2:$C$59,"高钾")</f>
        <v>18</v>
      </c>
      <c r="C5" s="39">
        <v>18</v>
      </c>
      <c r="D5" s="40" t="str">
        <f t="shared" si="0"/>
        <v>通过</v>
      </c>
    </row>
    <row r="6" spans="1:4">
      <c r="A6" s="38" t="s">
        <v>187</v>
      </c>
      <c r="B6" s="39">
        <f>COUNTIF(表单1_清洗!$C$2:$C$59,"铅钡")</f>
        <v>40</v>
      </c>
      <c r="C6" s="39">
        <v>40</v>
      </c>
      <c r="D6" s="40" t="str">
        <f t="shared" si="0"/>
        <v>通过</v>
      </c>
    </row>
    <row r="7" spans="1:4">
      <c r="A7" s="38" t="s">
        <v>188</v>
      </c>
      <c r="B7" s="39">
        <f>COUNTIF(表单1_清洗!$E$2:$E$59,"风化")</f>
        <v>34</v>
      </c>
      <c r="C7" s="39">
        <v>34</v>
      </c>
      <c r="D7" s="40" t="str">
        <f t="shared" si="0"/>
        <v>通过</v>
      </c>
    </row>
    <row r="8" spans="1:4">
      <c r="A8" s="38" t="s">
        <v>189</v>
      </c>
      <c r="B8" s="39">
        <f>COUNTIF(表单1_清洗!$E$2:$E$59,"无风化")</f>
        <v>24</v>
      </c>
      <c r="C8" s="39">
        <v>24</v>
      </c>
      <c r="D8" s="40" t="str">
        <f t="shared" si="0"/>
        <v>通过</v>
      </c>
    </row>
    <row r="9" spans="1:4">
      <c r="A9" s="38" t="s">
        <v>190</v>
      </c>
      <c r="B9" s="39">
        <f>SUM(表单1_清洗!$H$2:$H$59)</f>
        <v>4</v>
      </c>
      <c r="C9" s="39">
        <v>4</v>
      </c>
      <c r="D9" s="40" t="str">
        <f t="shared" si="0"/>
        <v>通过</v>
      </c>
    </row>
    <row r="10" spans="1:4">
      <c r="A10" s="38" t="s">
        <v>191</v>
      </c>
      <c r="B10" s="39">
        <f>COUNTIF(表单1_清洗!$I$2:$I$59,"检查")</f>
        <v>0</v>
      </c>
      <c r="C10" s="39">
        <v>0</v>
      </c>
      <c r="D10" s="40" t="str">
        <f t="shared" si="0"/>
        <v>通过</v>
      </c>
    </row>
    <row r="11" spans="1:4">
      <c r="A11" s="38" t="s">
        <v>192</v>
      </c>
      <c r="B11" s="39">
        <f>COUNTA(表单2_清洗!$A$2:$A$70)</f>
        <v>69</v>
      </c>
      <c r="C11" s="39">
        <v>69</v>
      </c>
      <c r="D11" s="40" t="str">
        <f t="shared" si="0"/>
        <v>通过</v>
      </c>
    </row>
    <row r="12" spans="1:4">
      <c r="A12" s="38" t="s">
        <v>193</v>
      </c>
      <c r="B12" s="39">
        <f>COUNTIF(表单2_清洗!$V$2:$V$70,"有效")</f>
        <v>67</v>
      </c>
      <c r="C12" s="39">
        <v>67</v>
      </c>
      <c r="D12" s="40" t="str">
        <f t="shared" si="0"/>
        <v>通过</v>
      </c>
    </row>
    <row r="13" spans="1:4">
      <c r="A13" s="38" t="s">
        <v>194</v>
      </c>
      <c r="B13" s="39">
        <f>COUNTIF(表单2_清洗!$V$2:$V$70,"无效")</f>
        <v>2</v>
      </c>
      <c r="C13" s="39">
        <v>2</v>
      </c>
      <c r="D13" s="40" t="str">
        <f t="shared" si="0"/>
        <v>通过</v>
      </c>
    </row>
    <row r="14" spans="1:4">
      <c r="A14" s="38" t="s">
        <v>195</v>
      </c>
      <c r="B14" s="39">
        <f>COUNTA(模型数据!$A$2:$A$68)</f>
        <v>67</v>
      </c>
      <c r="C14" s="39">
        <v>67</v>
      </c>
      <c r="D14" s="40" t="str">
        <f t="shared" si="0"/>
        <v>通过</v>
      </c>
    </row>
    <row r="15" spans="1:4">
      <c r="A15" s="38" t="s">
        <v>196</v>
      </c>
      <c r="B15" s="39">
        <f>COUNTIFS(模型数据!$D$2:$D$68,"高钾",模型数据!$E$2:$E$68,"无风化")</f>
        <v>12</v>
      </c>
      <c r="C15" s="39">
        <v>12</v>
      </c>
      <c r="D15" s="40" t="str">
        <f t="shared" si="0"/>
        <v>通过</v>
      </c>
    </row>
    <row r="16" spans="1:4">
      <c r="A16" s="38" t="s">
        <v>197</v>
      </c>
      <c r="B16" s="39">
        <f>COUNTIFS(模型数据!$D$2:$D$68,"高钾",模型数据!$E$2:$E$68,"风化")</f>
        <v>6</v>
      </c>
      <c r="C16" s="39">
        <v>6</v>
      </c>
      <c r="D16" s="40" t="str">
        <f t="shared" si="0"/>
        <v>通过</v>
      </c>
    </row>
    <row r="17" spans="1:4">
      <c r="A17" s="38" t="s">
        <v>198</v>
      </c>
      <c r="B17" s="39">
        <f>COUNTIFS(模型数据!$D$2:$D$68,"铅钡",模型数据!$E$2:$E$68,"无风化")</f>
        <v>23</v>
      </c>
      <c r="C17" s="39">
        <v>23</v>
      </c>
      <c r="D17" s="40" t="str">
        <f t="shared" si="0"/>
        <v>通过</v>
      </c>
    </row>
    <row r="18" spans="1:4">
      <c r="A18" s="38" t="s">
        <v>199</v>
      </c>
      <c r="B18" s="39">
        <f>COUNTIFS(模型数据!$D$2:$D$68,"铅钡",模型数据!$E$2:$E$68,"风化")</f>
        <v>26</v>
      </c>
      <c r="C18" s="39">
        <v>26</v>
      </c>
      <c r="D18" s="40" t="str">
        <f t="shared" si="0"/>
        <v>通过</v>
      </c>
    </row>
    <row r="19" spans="1:4">
      <c r="A19" s="41" t="s">
        <v>200</v>
      </c>
      <c r="B19" s="42">
        <f>COUNTIF(模型数据!$V$2:$V$68,"&lt;99.999")+COUNTIF(模型数据!$V$2:$V$68,"&gt;100.001")</f>
        <v>0</v>
      </c>
      <c r="C19" s="42">
        <v>0</v>
      </c>
      <c r="D19" s="43" t="str">
        <f t="shared" si="0"/>
        <v>通过</v>
      </c>
    </row>
    <row r="22" spans="1:4" ht="34" customHeight="1">
      <c r="A22" s="33" t="s">
        <v>201</v>
      </c>
      <c r="B22" s="33" t="s">
        <v>202</v>
      </c>
      <c r="C22" s="33" t="s">
        <v>203</v>
      </c>
      <c r="D22" s="33" t="s">
        <v>204</v>
      </c>
    </row>
    <row r="24" spans="1:4" ht="52" customHeight="1">
      <c r="A24" s="45" t="s">
        <v>205</v>
      </c>
      <c r="B24" s="45"/>
      <c r="C24" s="45"/>
      <c r="D24" s="45"/>
    </row>
  </sheetData>
  <mergeCells count="2">
    <mergeCell ref="A1:D1"/>
    <mergeCell ref="A24:D24"/>
  </mergeCells>
  <phoneticPr fontId="17" type="noConversion"/>
  <conditionalFormatting sqref="D4:D19">
    <cfRule type="containsText" dxfId="1" priority="1" operator="containsText" text="检查"/>
    <cfRule type="containsText" dxfId="0" priority="2" operator="containsText" text="通过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表单1</vt:lpstr>
      <vt:lpstr>表单2</vt:lpstr>
      <vt:lpstr>表单3</vt:lpstr>
      <vt:lpstr>表单1_清洗</vt:lpstr>
      <vt:lpstr>表单2_清洗</vt:lpstr>
      <vt:lpstr>模型数据</vt:lpstr>
      <vt:lpstr>质量检查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Yichen Zhao (SDS,125090990)</cp:lastModifiedBy>
  <dcterms:modified xsi:type="dcterms:W3CDTF">2026-08-20T04:13:28Z</dcterms:modified>
</cp:coreProperties>
</file>