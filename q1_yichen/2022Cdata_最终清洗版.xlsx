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09045b4e3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单1" sheetId="1" r:id="Rc3bdd703890d48c8"/>
    <x:sheet xmlns:r="http://schemas.openxmlformats.org/officeDocument/2006/relationships" name="表单2" sheetId="2" r:id="R678cf795bf0d4bd5"/>
    <x:sheet xmlns:r="http://schemas.openxmlformats.org/officeDocument/2006/relationships" name="表单3" sheetId="3" r:id="R614456f10399457f"/>
    <x:sheet xmlns:r="http://schemas.openxmlformats.org/officeDocument/2006/relationships" name="表单1_清洗" sheetId="4" r:id="R1fc48c1356134049"/>
    <x:sheet xmlns:r="http://schemas.openxmlformats.org/officeDocument/2006/relationships" name="表单2_清洗" sheetId="5" r:id="Rd300f33773ec4d10"/>
    <x:sheet xmlns:r="http://schemas.openxmlformats.org/officeDocument/2006/relationships" name="模型数据" sheetId="6" r:id="Rb3cd7fd99b404e30"/>
    <x:sheet xmlns:r="http://schemas.openxmlformats.org/officeDocument/2006/relationships" name="质量检查" sheetId="7" r:id="R13c3789339714bc8"/>
  </x:sheets>
</x:workbook>
</file>

<file path=xl/sharedStrings.xml><?xml version="1.0" encoding="utf-8"?>
<x:sst xmlns:x="http://schemas.openxmlformats.org/spreadsheetml/2006/main">
  <x:si>
    <x:t xml:space="preserve">文物编号</x:t>
  </x:si>
  <x:si>
    <x:t xml:space="preserve">纹饰</x:t>
  </x:si>
  <x:si>
    <x:t xml:space="preserve">类型</x:t>
  </x:si>
  <x:si>
    <x:t xml:space="preserve">颜色</x:t>
  </x:si>
  <x:si>
    <x:t xml:space="preserve">表面风化</x:t>
  </x:si>
  <x:si>
    <x:t xml:space="preserve">01</x:t>
  </x:si>
  <x:si>
    <x:t xml:space="preserve">C</x:t>
  </x:si>
  <x:si>
    <x:t xml:space="preserve">高钾</x:t>
  </x:si>
  <x:si>
    <x:t xml:space="preserve">蓝绿</x:t>
  </x:si>
  <x:si>
    <x:t xml:space="preserve">无风化</x:t>
  </x:si>
  <x:si>
    <x:t xml:space="preserve">02</x:t>
  </x:si>
  <x:si>
    <x:t xml:space="preserve">A</x:t>
  </x:si>
  <x:si>
    <x:t xml:space="preserve">铅钡</x:t>
  </x:si>
  <x:si>
    <x:t xml:space="preserve">浅蓝</x:t>
  </x:si>
  <x:si>
    <x:t xml:space="preserve">风化</x:t>
  </x:si>
  <x:si>
    <x:t xml:space="preserve">03</x:t>
  </x:si>
  <x:si>
    <x:t xml:space="preserve">04</x:t>
  </x:si>
  <x:si>
    <x:t xml:space="preserve">05</x:t>
  </x:si>
  <x:si>
    <x:t xml:space="preserve">06</x:t>
  </x:si>
  <x:si>
    <x:t xml:space="preserve">07</x:t>
  </x:si>
  <x:si>
    <x:t xml:space="preserve">B</x:t>
  </x:si>
  <x:si>
    <x:t xml:space="preserve">08</x:t>
  </x:si>
  <x:si>
    <x:t xml:space="preserve">紫</x:t>
  </x:si>
  <x:si>
    <x:t xml:space="preserve">09</x:t>
  </x:si>
  <x:si>
    <x:t xml:space="preserve">10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</x:si>
  <x:si>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</x:si>
  <x:si>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</x:si>
  <x:si>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</x:si>
  <x:si>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</x:si>
  <x:si>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深绿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</x:si>
  <x:si>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</x:si>
  <x:si>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</x:si>
  <x:si>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</x:si>
  <x:si>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</x:si>
  <x:si>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深蓝</x:t>
  </x:si>
  <x:si>
    <x:t xml:space="preserve">19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</x:si>
  <x:si>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</x:si>
  <x:si>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</x:si>
  <x:si>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</x:si>
  <x:si>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</x:si>
  <x:si>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</x:si>
  <x:si>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</x:si>
  <x:si>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26</x:t>
  </x:si>
  <x:si>
    <x:t xml:space="preserve">27</x:t>
  </x:si>
  <x:si>
    <x:t xml:space="preserve">28</x:t>
  </x:si>
  <x:si>
    <x:t xml:space="preserve">29</x:t>
  </x:si>
  <x:si>
    <x:t xml:space="preserve">30</x:t>
  </x:si>
  <x:si>
    <x:t xml:space="preserve">31</x:t>
  </x:si>
  <x:si>
    <x:t xml:space="preserve">32</x:t>
  </x:si>
  <x:si>
    <x:t xml:space="preserve">浅绿</x:t>
  </x:si>
  <x:si>
    <x:t xml:space="preserve">33</x:t>
  </x:si>
  <x:si>
    <x:t xml:space="preserve">34</x:t>
  </x:si>
  <x:si>
    <x:t xml:space="preserve">35</x:t>
  </x:si>
  <x:si>
    <x:t xml:space="preserve">36</x:t>
  </x:si>
  <x:si>
    <x:t xml:space="preserve">37</x:t>
  </x:si>
  <x:si>
    <x:t xml:space="preserve">38</x:t>
  </x:si>
  <x:si>
    <x:t xml:space="preserve">39</x:t>
  </x:si>
  <x:si>
    <x:t xml:space="preserve">40</x:t>
  </x:si>
  <x:si>
    <x:t xml:space="preserve">41</x:t>
  </x:si>
  <x:si>
    <x:t xml:space="preserve">42</x:t>
  </x:si>
  <x:si>
    <x:t xml:space="preserve">43</x:t>
  </x:si>
  <x:si>
    <x:t xml:space="preserve">44</x:t>
  </x:si>
  <x:si>
    <x:t xml:space="preserve">45</x:t>
  </x:si>
  <x:si>
    <x:t xml:space="preserve">46</x:t>
  </x:si>
  <x:si>
    <x:t xml:space="preserve">47</x:t>
  </x:si>
  <x:si>
    <x:t xml:space="preserve">48</x:t>
  </x:si>
  <x:si>
    <x:t xml:space="preserve">49</x:t>
  </x:si>
  <x:si>
    <x:t xml:space="preserve">黑</x:t>
  </x:si>
  <x:si>
    <x:t xml:space="preserve">50</x:t>
  </x:si>
  <x:si>
    <x:t xml:space="preserve">51</x:t>
  </x:si>
  <x:si>
    <x:t xml:space="preserve">52</x:t>
  </x:si>
  <x:si>
    <x:t xml:space="preserve">53</x:t>
  </x:si>
  <x:si>
    <x:t xml:space="preserve">54</x:t>
  </x:si>
  <x:si>
    <x:t xml:space="preserve">55</x:t>
  </x:si>
  <x:si>
    <x:t xml:space="preserve">绿</x:t>
  </x:si>
  <x:si>
    <x:t xml:space="preserve">56</x:t>
  </x:si>
  <x:si>
    <x:t xml:space="preserve">57</x:t>
  </x:si>
  <x:si>
    <x:t xml:space="preserve">58</x:t>
  </x:si>
  <x:si>
    <x:t xml:space="preserve">文物采样点</x:t>
  </x:si>
  <x:si>
    <x:r>
      <x:rPr>
        <x:b/>
        <x:sz val="10"/>
        <x:color rgb="FFC00000"/>
        <x:rFont val="宋体"/>
        <x:family val="3"/>
      </x:rPr>
      <x:t xml:space="preserve">二氧化硅</x:t>
    </x:r>
    <x:r>
      <x:rPr>
        <x:b/>
        <x:sz val="10"/>
        <x:color rgb="FFC00000"/>
        <x:rFont val="Times New Roman"/>
        <x:family val="1"/>
      </x:rPr>
      <x:t xml:space="preserve">(SiO</x:t>
    </x:r>
    <x:r>
      <x:rPr>
        <x:b/>
        <x:sz val="10"/>
        <x:color rgb="FFC00000"/>
        <x:rFont val="Times New Roman"/>
        <x:family val="1"/>
      </x:rPr>
      <x:t xml:space="preserve">2</x:t>
    </x:r>
    <x:r>
      <x:rPr>
        <x:b/>
        <x:sz val="10"/>
        <x:color rgb="FFC00000"/>
        <x:rFont val="Times New Roman"/>
        <x:family val="1"/>
      </x:rPr>
      <x:t xml:space="preserve">)</x:t>
    </x:r>
  </x:si>
  <x:si>
    <x:r>
      <x:rPr>
        <x:b/>
        <x:sz val="10"/>
        <x:color rgb="FFC00000"/>
        <x:rFont val="宋体"/>
        <x:family val="3"/>
      </x:rPr>
      <x:t xml:space="preserve">氧化钠</x:t>
    </x:r>
    <x:r>
      <x:rPr>
        <x:b/>
        <x:sz val="10"/>
        <x:color rgb="FFC00000"/>
        <x:rFont val="Times New Roman"/>
        <x:family val="1"/>
      </x:rPr>
      <x:t xml:space="preserve">(Na</x:t>
    </x:r>
    <x:r>
      <x:rPr>
        <x:b/>
        <x:sz val="10"/>
        <x:color rgb="FFC00000"/>
        <x:rFont val="Times New Roman"/>
        <x:family val="1"/>
      </x:rPr>
      <x:t xml:space="preserve">2</x:t>
    </x:r>
    <x:r>
      <x:rPr>
        <x:b/>
        <x:sz val="10"/>
        <x:color rgb="FFC00000"/>
        <x:rFont val="Times New Roman"/>
        <x:family val="1"/>
      </x:rPr>
      <x:t xml:space="preserve">O)</x:t>
    </x:r>
  </x:si>
  <x:si>
    <x:r>
      <x:rPr>
        <x:b/>
        <x:sz val="10"/>
        <x:color rgb="FFC00000"/>
        <x:rFont val="宋体"/>
        <x:family val="3"/>
      </x:rPr>
      <x:t xml:space="preserve">氧化钾</x:t>
    </x:r>
    <x:r>
      <x:rPr>
        <x:b/>
        <x:sz val="10"/>
        <x:color rgb="FFC00000"/>
        <x:rFont val="Times New Roman"/>
        <x:family val="1"/>
      </x:rPr>
      <x:t xml:space="preserve">(K</x:t>
    </x:r>
    <x:r>
      <x:rPr>
        <x:b/>
        <x:sz val="10"/>
        <x:color rgb="FFC00000"/>
        <x:rFont val="Times New Roman"/>
        <x:family val="1"/>
      </x:rPr>
      <x:t xml:space="preserve">2</x:t>
    </x:r>
    <x:r>
      <x:rPr>
        <x:b/>
        <x:sz val="10"/>
        <x:color rgb="FFC00000"/>
        <x:rFont val="Times New Roman"/>
        <x:family val="1"/>
      </x:rPr>
      <x:t xml:space="preserve">O)</x:t>
    </x:r>
  </x:si>
  <x:si>
    <x:r>
      <x:rPr>
        <x:b/>
        <x:sz val="10"/>
        <x:color rgb="FFC00000"/>
        <x:rFont val="宋体"/>
        <x:family val="3"/>
      </x:rPr>
      <x:t xml:space="preserve">氧化钙</x:t>
    </x:r>
    <x:r>
      <x:rPr>
        <x:b/>
        <x:sz val="10"/>
        <x:color rgb="FFC00000"/>
        <x:rFont val="Times New Roman"/>
        <x:family val="1"/>
      </x:rPr>
      <x:t xml:space="preserve">(CaO)</x:t>
    </x:r>
  </x:si>
  <x:si>
    <x:r>
      <x:rPr>
        <x:b/>
        <x:sz val="10"/>
        <x:color rgb="FFC00000"/>
        <x:rFont val="宋体"/>
        <x:family val="3"/>
      </x:rPr>
      <x:t xml:space="preserve">氧化镁</x:t>
    </x:r>
    <x:r>
      <x:rPr>
        <x:b/>
        <x:sz val="10"/>
        <x:color rgb="FFC00000"/>
        <x:rFont val="Times New Roman"/>
        <x:family val="1"/>
      </x:rPr>
      <x:t xml:space="preserve">(MgO)</x:t>
    </x:r>
  </x:si>
  <x:si>
    <x:r>
      <x:rPr>
        <x:b/>
        <x:sz val="10"/>
        <x:color rgb="FFC00000"/>
        <x:rFont val="宋体"/>
        <x:family val="3"/>
      </x:rPr>
      <x:t xml:space="preserve">氧化铝</x:t>
    </x:r>
    <x:r>
      <x:rPr>
        <x:b/>
        <x:sz val="10"/>
        <x:color rgb="FFC00000"/>
        <x:rFont val="Times New Roman"/>
        <x:family val="1"/>
      </x:rPr>
      <x:t xml:space="preserve">(Al</x:t>
    </x:r>
    <x:r>
      <x:rPr>
        <x:b/>
        <x:sz val="10"/>
        <x:color rgb="FFC00000"/>
        <x:rFont val="Times New Roman"/>
        <x:family val="1"/>
      </x:rPr>
      <x:t xml:space="preserve">2</x:t>
    </x:r>
    <x:r>
      <x:rPr>
        <x:b/>
        <x:sz val="10"/>
        <x:color rgb="FFC00000"/>
        <x:rFont val="Times New Roman"/>
        <x:family val="1"/>
      </x:rPr>
      <x:t xml:space="preserve">O</x:t>
    </x:r>
    <x:r>
      <x:rPr>
        <x:b/>
        <x:sz val="10"/>
        <x:color rgb="FFC00000"/>
        <x:rFont val="Times New Roman"/>
        <x:family val="1"/>
      </x:rPr>
      <x:t xml:space="preserve">3</x:t>
    </x:r>
    <x:r>
      <x:rPr>
        <x:b/>
        <x:sz val="10"/>
        <x:color rgb="FFC00000"/>
        <x:rFont val="Times New Roman"/>
        <x:family val="1"/>
      </x:rPr>
      <x:t xml:space="preserve">)</x:t>
    </x:r>
  </x:si>
  <x:si>
    <x:r>
      <x:rPr>
        <x:b/>
        <x:sz val="10"/>
        <x:color rgb="FFC00000"/>
        <x:rFont val="宋体"/>
        <x:family val="3"/>
      </x:rPr>
      <x:t xml:space="preserve">氧化铁</x:t>
    </x:r>
    <x:r>
      <x:rPr>
        <x:b/>
        <x:sz val="10"/>
        <x:color rgb="FFC00000"/>
        <x:rFont val="Times New Roman"/>
        <x:family val="1"/>
      </x:rPr>
      <x:t xml:space="preserve">(Fe</x:t>
    </x:r>
    <x:r>
      <x:rPr>
        <x:b/>
        <x:sz val="10"/>
        <x:color rgb="FFC00000"/>
        <x:rFont val="Times New Roman"/>
        <x:family val="1"/>
      </x:rPr>
      <x:t xml:space="preserve">2</x:t>
    </x:r>
    <x:r>
      <x:rPr>
        <x:b/>
        <x:sz val="10"/>
        <x:color rgb="FFC00000"/>
        <x:rFont val="Times New Roman"/>
        <x:family val="1"/>
      </x:rPr>
      <x:t xml:space="preserve">O</x:t>
    </x:r>
    <x:r>
      <x:rPr>
        <x:b/>
        <x:sz val="10"/>
        <x:color rgb="FFC00000"/>
        <x:rFont val="Times New Roman"/>
        <x:family val="1"/>
      </x:rPr>
      <x:t xml:space="preserve">3</x:t>
    </x:r>
    <x:r>
      <x:rPr>
        <x:b/>
        <x:sz val="10"/>
        <x:color rgb="FFC00000"/>
        <x:rFont val="Times New Roman"/>
        <x:family val="1"/>
      </x:rPr>
      <x:t xml:space="preserve">)</x:t>
    </x:r>
  </x:si>
  <x:si>
    <x:r>
      <x:rPr>
        <x:b/>
        <x:sz val="10"/>
        <x:color rgb="FFC00000"/>
        <x:rFont val="宋体"/>
        <x:family val="3"/>
      </x:rPr>
      <x:t xml:space="preserve">氧化铜</x:t>
    </x:r>
    <x:r>
      <x:rPr>
        <x:b/>
        <x:sz val="10"/>
        <x:color rgb="FFC00000"/>
        <x:rFont val="Times New Roman"/>
        <x:family val="1"/>
      </x:rPr>
      <x:t xml:space="preserve">(CuO)</x:t>
    </x:r>
  </x:si>
  <x:si>
    <x:r>
      <x:rPr>
        <x:b/>
        <x:sz val="10"/>
        <x:color rgb="FFC00000"/>
        <x:rFont val="宋体"/>
        <x:family val="3"/>
      </x:rPr>
      <x:t xml:space="preserve">氧化铅</x:t>
    </x:r>
    <x:r>
      <x:rPr>
        <x:b/>
        <x:sz val="10"/>
        <x:color rgb="FFC00000"/>
        <x:rFont val="Times New Roman"/>
        <x:family val="1"/>
      </x:rPr>
      <x:t xml:space="preserve">(PbO)</x:t>
    </x:r>
  </x:si>
  <x:si>
    <x:r>
      <x:rPr>
        <x:b/>
        <x:sz val="10"/>
        <x:color rgb="FFC00000"/>
        <x:rFont val="宋体"/>
        <x:family val="3"/>
      </x:rPr>
      <x:t xml:space="preserve">氧化钡</x:t>
    </x:r>
    <x:r>
      <x:rPr>
        <x:b/>
        <x:sz val="10"/>
        <x:color rgb="FFC00000"/>
        <x:rFont val="Times New Roman"/>
        <x:family val="1"/>
      </x:rPr>
      <x:t xml:space="preserve">(BaO)</x:t>
    </x:r>
  </x:si>
  <x:si>
    <x:r>
      <x:rPr>
        <x:b/>
        <x:sz val="10"/>
        <x:color rgb="FFC00000"/>
        <x:rFont val="宋体"/>
        <x:family val="3"/>
      </x:rPr>
      <x:t xml:space="preserve">五氧化二磷</x:t>
    </x:r>
    <x:r>
      <x:rPr>
        <x:b/>
        <x:sz val="10"/>
        <x:color rgb="FFC00000"/>
        <x:rFont val="Times New Roman"/>
        <x:family val="1"/>
      </x:rPr>
      <x:t xml:space="preserve">(P</x:t>
    </x:r>
    <x:r>
      <x:rPr>
        <x:b/>
        <x:sz val="10"/>
        <x:color rgb="FFC00000"/>
        <x:rFont val="Times New Roman"/>
        <x:family val="1"/>
      </x:rPr>
      <x:t xml:space="preserve">2</x:t>
    </x:r>
    <x:r>
      <x:rPr>
        <x:b/>
        <x:sz val="10"/>
        <x:color rgb="FFC00000"/>
        <x:rFont val="Times New Roman"/>
        <x:family val="1"/>
      </x:rPr>
      <x:t xml:space="preserve">O</x:t>
    </x:r>
    <x:r>
      <x:rPr>
        <x:b/>
        <x:sz val="10"/>
        <x:color rgb="FFC00000"/>
        <x:rFont val="Times New Roman"/>
        <x:family val="1"/>
      </x:rPr>
      <x:t xml:space="preserve">5</x:t>
    </x:r>
    <x:r>
      <x:rPr>
        <x:b/>
        <x:sz val="10"/>
        <x:color rgb="FFC00000"/>
        <x:rFont val="Times New Roman"/>
        <x:family val="1"/>
      </x:rPr>
      <x:t xml:space="preserve">)</x:t>
    </x:r>
  </x:si>
  <x:si>
    <x:r>
      <x:rPr>
        <x:b/>
        <x:sz val="10"/>
        <x:color rgb="FFC00000"/>
        <x:rFont val="宋体"/>
        <x:family val="3"/>
      </x:rPr>
      <x:t xml:space="preserve">氧化锶</x:t>
    </x:r>
    <x:r>
      <x:rPr>
        <x:b/>
        <x:sz val="10"/>
        <x:color rgb="FFC00000"/>
        <x:rFont val="Times New Roman"/>
        <x:family val="1"/>
      </x:rPr>
      <x:t xml:space="preserve">(SrO)</x:t>
    </x:r>
  </x:si>
  <x:si>
    <x:r>
      <x:rPr>
        <x:b/>
        <x:sz val="10"/>
        <x:color rgb="FFC00000"/>
        <x:rFont val="宋体"/>
        <x:family val="3"/>
      </x:rPr>
      <x:t xml:space="preserve">氧化锡</x:t>
    </x:r>
    <x:r>
      <x:rPr>
        <x:b/>
        <x:sz val="10"/>
        <x:color rgb="FFC00000"/>
        <x:rFont val="Times New Roman"/>
        <x:family val="1"/>
      </x:rPr>
      <x:t xml:space="preserve">(SnO</x:t>
    </x:r>
    <x:r>
      <x:rPr>
        <x:b/>
        <x:sz val="10"/>
        <x:color rgb="FFC00000"/>
        <x:rFont val="Times New Roman"/>
        <x:family val="1"/>
      </x:rPr>
      <x:t xml:space="preserve">2</x:t>
    </x:r>
    <x:r>
      <x:rPr>
        <x:b/>
        <x:sz val="10"/>
        <x:color rgb="FFC00000"/>
        <x:rFont val="Times New Roman"/>
        <x:family val="1"/>
      </x:rPr>
      <x:t xml:space="preserve">)</x:t>
    </x:r>
  </x:si>
  <x:si>
    <x:r>
      <x:rPr>
        <x:b/>
        <x:sz val="10"/>
        <x:color rgb="FFC00000"/>
        <x:rFont val="宋体"/>
        <x:family val="3"/>
      </x:rPr>
      <x:t xml:space="preserve">二氧化硫</x:t>
    </x:r>
    <x:r>
      <x:rPr>
        <x:b/>
        <x:sz val="10"/>
        <x:color rgb="FFC00000"/>
        <x:rFont val="Times New Roman"/>
        <x:family val="1"/>
      </x:rPr>
      <x:t xml:space="preserve">(SO</x:t>
    </x:r>
    <x:r>
      <x:rPr>
        <x:b/>
        <x:sz val="10"/>
        <x:color rgb="FFC00000"/>
        <x:rFont val="Times New Roman"/>
        <x:family val="1"/>
      </x:rPr>
      <x:t xml:space="preserve">2</x:t>
    </x:r>
    <x:r>
      <x:rPr>
        <x:b/>
        <x:sz val="10"/>
        <x:color rgb="FFC00000"/>
        <x:rFont val="Times New Roman"/>
        <x:family val="1"/>
      </x:rPr>
      <x:t xml:space="preserve">)</x:t>
    </x:r>
  </x:si>
  <x:si>
    <x:t xml:space="preserve">03部位1</x:t>
  </x:si>
  <x:si>
    <x:t xml:space="preserve">03部位2</x:t>
  </x:si>
  <x:si>
    <x:t xml:space="preserve">06部位1</x:t>
  </x:si>
  <x:si>
    <x:t xml:space="preserve">06部位2</x:t>
  </x:si>
  <x:si>
    <x:t xml:space="preserve">08严重风化点</x:t>
  </x:si>
  <x:si>
    <x:t xml:space="preserve">23未风化点</x:t>
  </x:si>
  <x:si>
    <x:t xml:space="preserve">25未风化点</x:t>
  </x:si>
  <x:si>
    <x:t xml:space="preserve">26严重风化点</x:t>
  </x:si>
  <x:si>
    <x:t xml:space="preserve">28未风化点</x:t>
  </x:si>
  <x:si>
    <x:t xml:space="preserve">29未风化点</x:t>
  </x:si>
  <x:si>
    <x:t xml:space="preserve">30部位1</x:t>
  </x:si>
  <x:si>
    <x:t xml:space="preserve">30部位2</x:t>
  </x:si>
  <x:si>
    <x:t xml:space="preserve">42未风化点1</x:t>
  </x:si>
  <x:si>
    <x:t xml:space="preserve">42未风化点2</x:t>
  </x:si>
  <x:si>
    <x:t xml:space="preserve">43部位1</x:t>
  </x:si>
  <x:si>
    <x:t xml:space="preserve">43部位2</x:t>
  </x:si>
  <x:si>
    <x:t xml:space="preserve">44未风化点</x:t>
  </x:si>
  <x:si>
    <x:t xml:space="preserve">49未风化点</x:t>
  </x:si>
  <x:si>
    <x:t xml:space="preserve">50未风化点</x:t>
  </x:si>
  <x:si>
    <x:t xml:space="preserve">51部位1</x:t>
  </x:si>
  <x:si>
    <x:t xml:space="preserve">51部位2</x:t>
  </x:si>
  <x:si>
    <x:t xml:space="preserve">53未风化点</x:t>
  </x:si>
  <x:si>
    <x:t xml:space="preserve">54严重风化点</x:t>
  </x:si>
  <x:si>
    <x:r>
      <x:rPr>
        <x:b/>
        <x:sz val="11"/>
        <x:color rgb="FFC00000"/>
        <x:rFont val="宋体"/>
        <x:family val="3"/>
      </x:rPr>
      <x:t xml:space="preserve">二氧化硅</x:t>
    </x:r>
    <x:r>
      <x:rPr>
        <x:b/>
        <x:sz val="11"/>
        <x:color rgb="FFC00000"/>
        <x:rFont val="Times New Roman"/>
        <x:family val="1"/>
      </x:rPr>
      <x:t xml:space="preserve">(SiO</x:t>
    </x:r>
    <x:r>
      <x:rPr>
        <x:b/>
        <x:sz val="11"/>
        <x:color rgb="FFC00000"/>
        <x:rFont val="Times New Roman"/>
        <x:family val="1"/>
      </x:rPr>
      <x:t xml:space="preserve">2</x:t>
    </x:r>
    <x:r>
      <x:rPr>
        <x:b/>
        <x:sz val="11"/>
        <x:color rgb="FFC00000"/>
        <x:rFont val="Times New Roman"/>
        <x:family val="1"/>
      </x:rPr>
      <x:t xml:space="preserve">)</x:t>
    </x:r>
  </x:si>
  <x:si>
    <x:r>
      <x:rPr>
        <x:b/>
        <x:sz val="11"/>
        <x:color rgb="FFC00000"/>
        <x:rFont val="宋体"/>
        <x:family val="3"/>
      </x:rPr>
      <x:t xml:space="preserve">氧化钠</x:t>
    </x:r>
    <x:r>
      <x:rPr>
        <x:b/>
        <x:sz val="11"/>
        <x:color rgb="FFC00000"/>
        <x:rFont val="Times New Roman"/>
        <x:family val="1"/>
      </x:rPr>
      <x:t xml:space="preserve">(Na</x:t>
    </x:r>
    <x:r>
      <x:rPr>
        <x:b/>
        <x:sz val="11"/>
        <x:color rgb="FFC00000"/>
        <x:rFont val="Times New Roman"/>
        <x:family val="1"/>
      </x:rPr>
      <x:t xml:space="preserve">2</x:t>
    </x:r>
    <x:r>
      <x:rPr>
        <x:b/>
        <x:sz val="11"/>
        <x:color rgb="FFC00000"/>
        <x:rFont val="Times New Roman"/>
        <x:family val="1"/>
      </x:rPr>
      <x:t xml:space="preserve">O)</x:t>
    </x:r>
  </x:si>
  <x:si>
    <x:r>
      <x:rPr>
        <x:b/>
        <x:sz val="11"/>
        <x:color rgb="FFC00000"/>
        <x:rFont val="宋体"/>
        <x:family val="3"/>
      </x:rPr>
      <x:t xml:space="preserve">氧化钾</x:t>
    </x:r>
    <x:r>
      <x:rPr>
        <x:b/>
        <x:sz val="11"/>
        <x:color rgb="FFC00000"/>
        <x:rFont val="Times New Roman"/>
        <x:family val="1"/>
      </x:rPr>
      <x:t xml:space="preserve">(K</x:t>
    </x:r>
    <x:r>
      <x:rPr>
        <x:b/>
        <x:sz val="11"/>
        <x:color rgb="FFC00000"/>
        <x:rFont val="Times New Roman"/>
        <x:family val="1"/>
      </x:rPr>
      <x:t xml:space="preserve">2</x:t>
    </x:r>
    <x:r>
      <x:rPr>
        <x:b/>
        <x:sz val="11"/>
        <x:color rgb="FFC00000"/>
        <x:rFont val="Times New Roman"/>
        <x:family val="1"/>
      </x:rPr>
      <x:t xml:space="preserve">O)</x:t>
    </x:r>
  </x:si>
  <x:si>
    <x:r>
      <x:rPr>
        <x:b/>
        <x:sz val="11"/>
        <x:color rgb="FFC00000"/>
        <x:rFont val="宋体"/>
        <x:family val="3"/>
      </x:rPr>
      <x:t xml:space="preserve">氧化钙</x:t>
    </x:r>
    <x:r>
      <x:rPr>
        <x:b/>
        <x:sz val="11"/>
        <x:color rgb="FFC00000"/>
        <x:rFont val="Times New Roman"/>
        <x:family val="1"/>
      </x:rPr>
      <x:t xml:space="preserve">(CaO)</x:t>
    </x:r>
  </x:si>
  <x:si>
    <x:r>
      <x:rPr>
        <x:b/>
        <x:sz val="11"/>
        <x:color rgb="FFC00000"/>
        <x:rFont val="宋体"/>
        <x:family val="3"/>
      </x:rPr>
      <x:t xml:space="preserve">氧化镁</x:t>
    </x:r>
    <x:r>
      <x:rPr>
        <x:b/>
        <x:sz val="11"/>
        <x:color rgb="FFC00000"/>
        <x:rFont val="Times New Roman"/>
        <x:family val="1"/>
      </x:rPr>
      <x:t xml:space="preserve">(MgO)</x:t>
    </x:r>
  </x:si>
  <x:si>
    <x:r>
      <x:rPr>
        <x:b/>
        <x:sz val="11"/>
        <x:color rgb="FFC00000"/>
        <x:rFont val="宋体"/>
        <x:family val="3"/>
      </x:rPr>
      <x:t xml:space="preserve">氧化铝</x:t>
    </x:r>
    <x:r>
      <x:rPr>
        <x:b/>
        <x:sz val="11"/>
        <x:color rgb="FFC00000"/>
        <x:rFont val="Times New Roman"/>
        <x:family val="1"/>
      </x:rPr>
      <x:t xml:space="preserve">(Al</x:t>
    </x:r>
    <x:r>
      <x:rPr>
        <x:b/>
        <x:sz val="11"/>
        <x:color rgb="FFC00000"/>
        <x:rFont val="Times New Roman"/>
        <x:family val="1"/>
      </x:rPr>
      <x:t xml:space="preserve">2</x:t>
    </x:r>
    <x:r>
      <x:rPr>
        <x:b/>
        <x:sz val="11"/>
        <x:color rgb="FFC00000"/>
        <x:rFont val="Times New Roman"/>
        <x:family val="1"/>
      </x:rPr>
      <x:t xml:space="preserve">O</x:t>
    </x:r>
    <x:r>
      <x:rPr>
        <x:b/>
        <x:sz val="11"/>
        <x:color rgb="FFC00000"/>
        <x:rFont val="Times New Roman"/>
        <x:family val="1"/>
      </x:rPr>
      <x:t xml:space="preserve">3</x:t>
    </x:r>
    <x:r>
      <x:rPr>
        <x:b/>
        <x:sz val="11"/>
        <x:color rgb="FFC00000"/>
        <x:rFont val="Times New Roman"/>
        <x:family val="1"/>
      </x:rPr>
      <x:t xml:space="preserve">)</x:t>
    </x:r>
  </x:si>
  <x:si>
    <x:r>
      <x:rPr>
        <x:b/>
        <x:sz val="11"/>
        <x:color rgb="FFC00000"/>
        <x:rFont val="宋体"/>
        <x:family val="3"/>
      </x:rPr>
      <x:t xml:space="preserve">氧化铁</x:t>
    </x:r>
    <x:r>
      <x:rPr>
        <x:b/>
        <x:sz val="11"/>
        <x:color rgb="FFC00000"/>
        <x:rFont val="Times New Roman"/>
        <x:family val="1"/>
      </x:rPr>
      <x:t xml:space="preserve">(Fe</x:t>
    </x:r>
    <x:r>
      <x:rPr>
        <x:b/>
        <x:sz val="11"/>
        <x:color rgb="FFC00000"/>
        <x:rFont val="Times New Roman"/>
        <x:family val="1"/>
      </x:rPr>
      <x:t xml:space="preserve">2</x:t>
    </x:r>
    <x:r>
      <x:rPr>
        <x:b/>
        <x:sz val="11"/>
        <x:color rgb="FFC00000"/>
        <x:rFont val="Times New Roman"/>
        <x:family val="1"/>
      </x:rPr>
      <x:t xml:space="preserve">O</x:t>
    </x:r>
    <x:r>
      <x:rPr>
        <x:b/>
        <x:sz val="11"/>
        <x:color rgb="FFC00000"/>
        <x:rFont val="Times New Roman"/>
        <x:family val="1"/>
      </x:rPr>
      <x:t xml:space="preserve">3</x:t>
    </x:r>
    <x:r>
      <x:rPr>
        <x:b/>
        <x:sz val="11"/>
        <x:color rgb="FFC00000"/>
        <x:rFont val="Times New Roman"/>
        <x:family val="1"/>
      </x:rPr>
      <x:t xml:space="preserve">)</x:t>
    </x:r>
  </x:si>
  <x:si>
    <x:r>
      <x:rPr>
        <x:b/>
        <x:sz val="11"/>
        <x:color rgb="FFC00000"/>
        <x:rFont val="宋体"/>
        <x:family val="3"/>
      </x:rPr>
      <x:t xml:space="preserve">氧化铜</x:t>
    </x:r>
    <x:r>
      <x:rPr>
        <x:b/>
        <x:sz val="11"/>
        <x:color rgb="FFC00000"/>
        <x:rFont val="Times New Roman"/>
        <x:family val="1"/>
      </x:rPr>
      <x:t xml:space="preserve">(CuO)</x:t>
    </x:r>
  </x:si>
  <x:si>
    <x:r>
      <x:rPr>
        <x:b/>
        <x:sz val="11"/>
        <x:color rgb="FFC00000"/>
        <x:rFont val="宋体"/>
        <x:family val="3"/>
      </x:rPr>
      <x:t xml:space="preserve">氧化铅</x:t>
    </x:r>
    <x:r>
      <x:rPr>
        <x:b/>
        <x:sz val="11"/>
        <x:color rgb="FFC00000"/>
        <x:rFont val="Times New Roman"/>
        <x:family val="1"/>
      </x:rPr>
      <x:t xml:space="preserve">(PbO)</x:t>
    </x:r>
  </x:si>
  <x:si>
    <x:r>
      <x:rPr>
        <x:b/>
        <x:sz val="11"/>
        <x:color rgb="FFC00000"/>
        <x:rFont val="宋体"/>
        <x:family val="3"/>
      </x:rPr>
      <x:t xml:space="preserve">氧化钡</x:t>
    </x:r>
    <x:r>
      <x:rPr>
        <x:b/>
        <x:sz val="11"/>
        <x:color rgb="FFC00000"/>
        <x:rFont val="Times New Roman"/>
        <x:family val="1"/>
      </x:rPr>
      <x:t xml:space="preserve">(BaO)</x:t>
    </x:r>
  </x:si>
  <x:si>
    <x:r>
      <x:rPr>
        <x:b/>
        <x:sz val="11"/>
        <x:color rgb="FFC00000"/>
        <x:rFont val="宋体"/>
        <x:family val="3"/>
      </x:rPr>
      <x:t xml:space="preserve">五氧化二磷</x:t>
    </x:r>
    <x:r>
      <x:rPr>
        <x:b/>
        <x:sz val="11"/>
        <x:color rgb="FFC00000"/>
        <x:rFont val="Times New Roman"/>
        <x:family val="1"/>
      </x:rPr>
      <x:t xml:space="preserve">(P</x:t>
    </x:r>
    <x:r>
      <x:rPr>
        <x:b/>
        <x:sz val="11"/>
        <x:color rgb="FFC00000"/>
        <x:rFont val="Times New Roman"/>
        <x:family val="1"/>
      </x:rPr>
      <x:t xml:space="preserve">2</x:t>
    </x:r>
    <x:r>
      <x:rPr>
        <x:b/>
        <x:sz val="11"/>
        <x:color rgb="FFC00000"/>
        <x:rFont val="Times New Roman"/>
        <x:family val="1"/>
      </x:rPr>
      <x:t xml:space="preserve">O</x:t>
    </x:r>
    <x:r>
      <x:rPr>
        <x:b/>
        <x:sz val="11"/>
        <x:color rgb="FFC00000"/>
        <x:rFont val="Times New Roman"/>
        <x:family val="1"/>
      </x:rPr>
      <x:t xml:space="preserve">5</x:t>
    </x:r>
    <x:r>
      <x:rPr>
        <x:b/>
        <x:sz val="11"/>
        <x:color rgb="FFC00000"/>
        <x:rFont val="Times New Roman"/>
        <x:family val="1"/>
      </x:rPr>
      <x:t xml:space="preserve">)</x:t>
    </x:r>
  </x:si>
  <x:si>
    <x:r>
      <x:rPr>
        <x:b/>
        <x:sz val="11"/>
        <x:color rgb="FFC00000"/>
        <x:rFont val="宋体"/>
        <x:family val="3"/>
      </x:rPr>
      <x:t xml:space="preserve">氧化锶</x:t>
    </x:r>
    <x:r>
      <x:rPr>
        <x:b/>
        <x:sz val="11"/>
        <x:color rgb="FFC00000"/>
        <x:rFont val="Times New Roman"/>
        <x:family val="1"/>
      </x:rPr>
      <x:t xml:space="preserve">(SrO)</x:t>
    </x:r>
  </x:si>
  <x:si>
    <x:r>
      <x:rPr>
        <x:b/>
        <x:sz val="11"/>
        <x:color rgb="FFC00000"/>
        <x:rFont val="宋体"/>
        <x:family val="3"/>
      </x:rPr>
      <x:t xml:space="preserve">氧化锡</x:t>
    </x:r>
    <x:r>
      <x:rPr>
        <x:b/>
        <x:sz val="11"/>
        <x:color rgb="FFC00000"/>
        <x:rFont val="Times New Roman"/>
        <x:family val="1"/>
      </x:rPr>
      <x:t xml:space="preserve">(SnO</x:t>
    </x:r>
    <x:r>
      <x:rPr>
        <x:b/>
        <x:sz val="11"/>
        <x:color rgb="FFC00000"/>
        <x:rFont val="Times New Roman"/>
        <x:family val="1"/>
      </x:rPr>
      <x:t xml:space="preserve">2</x:t>
    </x:r>
    <x:r>
      <x:rPr>
        <x:b/>
        <x:sz val="11"/>
        <x:color rgb="FFC00000"/>
        <x:rFont val="Times New Roman"/>
        <x:family val="1"/>
      </x:rPr>
      <x:t xml:space="preserve">)</x:t>
    </x:r>
  </x:si>
  <x:si>
    <x:r>
      <x:rPr>
        <x:b/>
        <x:sz val="11"/>
        <x:color rgb="FFC00000"/>
        <x:rFont val="宋体"/>
        <x:family val="3"/>
      </x:rPr>
      <x:t xml:space="preserve">二氧化硫</x:t>
    </x:r>
    <x:r>
      <x:rPr>
        <x:b/>
        <x:sz val="11"/>
        <x:color rgb="FFC00000"/>
        <x:rFont val="Times New Roman"/>
        <x:family val="1"/>
      </x:rPr>
      <x:t xml:space="preserve">(SO</x:t>
    </x:r>
    <x:r>
      <x:rPr>
        <x:b/>
        <x:sz val="11"/>
        <x:color rgb="FFC00000"/>
        <x:rFont val="Times New Roman"/>
        <x:family val="1"/>
      </x:rPr>
      <x:t xml:space="preserve">2</x:t>
    </x:r>
    <x:r>
      <x:rPr>
        <x:b/>
        <x:sz val="11"/>
        <x:color rgb="FFC00000"/>
        <x:rFont val="Times New Roman"/>
        <x:family val="1"/>
      </x:rPr>
      <x:t xml:space="preserve">)</x:t>
    </x:r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</x:si>
  <x:si>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</x:si>
  <x:si>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</x:si>
  <x:si>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</x:si>
  <x:si>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</x:si>
  <x:si>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</x:si>
  <x:si>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</x:si>
  <x:si>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A7</x:t>
  </x:si>
  <x:si>
    <x:t xml:space="preserve">A8</x:t>
  </x:si>
</x:sst>
</file>

<file path=xl/styles.xml><?xml version="1.0" encoding="utf-8"?>
<x:styleSheet xmlns:x="http://schemas.openxmlformats.org/spreadsheetml/2006/main">
  <x:numFmts count="6">
    <x:numFmt numFmtId="176" formatCode="0.00_ "/>
    <x:numFmt numFmtId="200" formatCode="@"/>
    <x:numFmt numFmtId="201" formatCode="0"/>
    <x:numFmt numFmtId="202" formatCode="00"/>
    <x:numFmt numFmtId="203" formatCode="0.00"/>
    <x:numFmt numFmtId="204" formatCode="0.0000"/>
  </x:numFmts>
  <x:fonts count="22">
    <x:font>
      <x:sz val="11"/>
      <x:color theme="1"/>
      <x:name val="宋体"/>
    </x:font>
    <x:font>
      <x:sz val="9"/>
      <x:name val="宋体"/>
    </x:font>
    <x:font>
      <x:sz val="11"/>
      <x:color theme="1"/>
      <x:name val="宋体"/>
    </x:font>
    <x:font>
      <x:sz val="10"/>
      <x:name val="宋体"/>
    </x:font>
    <x:font>
      <x:sz val="9"/>
      <x:name val="宋体"/>
    </x:font>
    <x:font>
      <x:sz val="10"/>
      <x:color theme="1"/>
      <x:name val="宋体"/>
    </x:font>
    <x:font>
      <x:sz val="10"/>
      <x:color theme="1"/>
      <x:name val="宋体"/>
    </x:font>
    <x:font>
      <x:b/>
      <x:sz val="11"/>
      <x:color rgb="FFC00000"/>
      <x:name val="宋体"/>
    </x:font>
    <x:font>
      <x:b/>
      <x:sz val="10"/>
      <x:color rgb="FFC00000"/>
      <x:name val="宋体"/>
    </x:font>
    <x:font>
      <x:sz val="10"/>
      <x:color theme="1"/>
      <x:name val="宋体"/>
    </x:font>
    <x:font>
      <x:sz val="10"/>
      <x:color theme="1"/>
      <x:name val="Times New Roman"/>
    </x:font>
    <x:font>
      <x:b/>
      <x:sz val="10"/>
      <x:color rgb="FFC00000"/>
      <x:name val="宋体"/>
    </x:font>
    <x:font>
      <x:sz val="11"/>
      <x:color rgb="FFC00000"/>
      <x:name val="宋体"/>
    </x:font>
    <x:font>
      <x:b/>
      <x:sz val="11"/>
      <x:color rgb="FFC00000"/>
      <x:name val="Times New Roman"/>
    </x:font>
    <x:font>
      <x:b/>
      <x:sz val="11"/>
      <x:color rgb="FFC00000"/>
      <x:name val="宋体"/>
    </x:font>
    <x:font>
      <x:b/>
      <x:sz val="11"/>
      <x:color rgb="FFC00000"/>
      <x:name val="Times New Roman"/>
    </x:font>
    <x:font>
      <x:b/>
      <x:sz val="11"/>
      <x:color rgb="FFC00000"/>
      <x:name val="Times New Roman"/>
    </x:font>
    <x:font>
      <x:b/>
      <x:sz val="10"/>
      <x:color rgb="FFC00000"/>
      <x:name val="Times New Roman"/>
    </x:font>
    <x:font>
      <x:b/>
      <x:sz val="10"/>
      <x:color rgb="FFC00000"/>
      <x:name val="Times New Roman"/>
    </x:font>
    <x:font>
      <x:b/>
      <x:sz val="10"/>
      <x:color rgb="FFC00000"/>
      <x:name val="Times New Roman"/>
    </x:font>
    <x:font>
      <x:b/>
      <x:sz val="11"/>
      <x:color rgb="FFFFFFFF"/>
      <x:name val="宋体"/>
    </x:font>
    <x:font>
      <x:b/>
      <x:sz val="16"/>
      <x:color rgb="FFFFFFFF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FFF7D6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7E2E0"/>
      </x:left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bottom style="thin">
        <x:color rgb="FFD7E2E0"/>
      </x:bottom>
    </x:border>
    <x:border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top style="thin">
        <x:color rgb="FFD7E2E0"/>
      </x:top>
      <x:bottom style="thin">
        <x:color rgb="FFD7E2E0"/>
      </x:bottom>
    </x:border>
    <x:border>
      <x:right style="thin">
        <x:color rgb="FFD7E2E0"/>
      </x:right>
      <x:top style="thin">
        <x:color rgb="FFD7E2E0"/>
      </x:top>
    </x:border>
    <x:border>
      <x:left style="thin">
        <x:color rgb="FFD7E2E0"/>
      </x:left>
      <x:right style="thin">
        <x:color rgb="FFD7E2E0"/>
      </x:right>
      <x:top style="thin">
        <x:color rgb="FFD7E2E0"/>
      </x:top>
    </x:border>
    <x:border>
      <x:left style="thin">
        <x:color rgb="FFD7E2E0"/>
      </x:left>
      <x:top style="thin">
        <x:color rgb="FFD7E2E0"/>
      </x:top>
    </x:border>
  </x:borders>
  <x:cellStyleXfs count="1">
    <x:xf numFmtId="0" fontId="0" fillId="0" borderId="0">
      <x:alignment vertical="center"/>
    </x:xf>
  </x:cellStyleXfs>
  <x:cellXfs count="5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6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2" fillId="0" borderId="0" xfId="0" applyFont="1">
      <x:alignment vertical="center"/>
    </x:xf>
    <x:xf numFmtId="49" fontId="2" fillId="0" borderId="1" xfId="0" applyNumberFormat="1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49" fontId="9" fillId="0" borderId="1" xfId="0" applyNumberFormat="1" applyFont="1" applyBorder="1" applyAlignment="1">
      <x:alignment horizontal="left" vertical="center"/>
    </x:xf>
    <x:xf numFmtId="0" fontId="10" fillId="0" borderId="1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1" xfId="0" applyFont="1" applyBorder="1">
      <x:alignment vertical="center"/>
    </x:xf>
    <x:xf numFmtId="49" fontId="9" fillId="0" borderId="0" xfId="0" applyNumberFormat="1" applyFont="1" applyAlignment="1">
      <x:alignment horizontal="left" vertical="center"/>
    </x:xf>
    <x:xf numFmtId="0" fontId="0" fillId="0" borderId="1" xfId="0" applyBorder="1" applyAlignment="1">
      <x:alignment horizontal="center" vertical="center"/>
    </x:xf>
    <x:xf numFmtId="176" fontId="3" fillId="0" borderId="1" xfId="0" applyNumberFormat="1" applyFont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1" fillId="0" borderId="1" xfId="0" applyFont="1" applyBorder="1" applyAlignment="1">
      <x:alignment horizontal="center" vertical="center" wrapText="1"/>
    </x:xf>
    <x:xf numFmtId="0" fontId="12" fillId="0" borderId="0" xfId="0" applyFont="1">
      <x:alignment vertical="center"/>
    </x:xf>
    <x:xf numFmtId="0" fontId="13" fillId="0" borderId="1" xfId="0" applyFont="1" applyBorder="1" applyAlignment="1">
      <x:alignment horizontal="center" vertical="center" wrapText="1"/>
    </x:xf>
    <x:xf numFmtId="49" fontId="8" fillId="0" borderId="1" xfId="0" applyNumberFormat="1" applyFont="1" applyBorder="1" applyAlignment="1">
      <x:alignment horizontal="center" vertical="center"/>
    </x:xf>
    <x:xf numFmtId="0" fontId="17" fillId="0" borderId="1" xfId="0" applyFont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201" fontId="0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0" fillId="3" borderId="0" xfId="0" applyNumberFormat="1" applyFont="1" applyFill="1" applyBorder="1" applyAlignment="1">
      <x:alignment vertical="center"/>
    </x:xf>
    <x:xf numFmtId="0" fontId="20" fillId="3" borderId="2" xfId="0" applyNumberFormat="1" applyFont="1" applyFill="1" applyBorder="1" applyAlignment="1">
      <x:alignment vertical="center"/>
    </x:xf>
    <x:xf numFmtId="0" fontId="20" fillId="3" borderId="2" xfId="0" applyNumberFormat="1" applyFont="1" applyFill="1" applyBorder="1" applyAlignment="1">
      <x:alignment vertical="center" wrapText="1"/>
    </x:xf>
    <x:xf numFmtId="0" fontId="20" fillId="3" borderId="2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0" fontId="0" fillId="2" borderId="0" xfId="0" applyNumberFormat="1" applyFont="1" applyFill="1" applyBorder="1" applyAlignment="1">
      <x:alignment vertical="center"/>
    </x:xf>
    <x:xf numFmtId="203" fontId="0" fillId="2" borderId="0" xfId="0" applyNumberFormat="1" applyFont="1" applyFill="1" applyBorder="1" applyAlignment="1">
      <x:alignment vertical="center"/>
    </x:xf>
    <x:xf numFmtId="204" fontId="0" fillId="2" borderId="0" xfId="0" applyNumberFormat="1" applyFont="1" applyFill="1" applyBorder="1" applyAlignment="1">
      <x:alignment vertical="center"/>
    </x:xf>
    <x:xf numFmtId="202" fontId="0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21" fillId="4" borderId="0" xfId="0" applyNumberFormat="1" applyFont="1" applyFill="1" applyBorder="1" applyAlignment="1">
      <x:alignment vertical="center"/>
    </x:xf>
    <x:xf numFmtId="0" fontId="21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20" fillId="3" borderId="0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常规" xfId="0"/>
  </x:cellStyles>
  <x:dxfs count="4">
    <x:dxf>
      <x:font>
        <x:b/>
        <x:color rgb="FF9C1C1C"/>
      </x:font>
      <x:fill>
        <x:patternFill patternType="solid">
          <x:bgColor rgb="FFFADBD8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2c930bd344650" /><Relationship Type="http://schemas.openxmlformats.org/officeDocument/2006/relationships/theme" Target="/xl/theme/theme1.xml" Id="R50cf53aabc134e98" /><Relationship Type="http://schemas.openxmlformats.org/officeDocument/2006/relationships/sharedStrings" Target="/xl/sharedStrings.xml" Id="Rc5726ecb9e1948e0" /><Relationship Type="http://schemas.openxmlformats.org/officeDocument/2006/relationships/worksheet" Target="/xl/worksheets/sheet1.xml" Id="Rc3bdd703890d48c8" /><Relationship Type="http://schemas.openxmlformats.org/officeDocument/2006/relationships/worksheet" Target="/xl/worksheets/sheet2.xml" Id="R678cf795bf0d4bd5" /><Relationship Type="http://schemas.openxmlformats.org/officeDocument/2006/relationships/worksheet" Target="/xl/worksheets/sheet3.xml" Id="R614456f10399457f" /><Relationship Type="http://schemas.openxmlformats.org/officeDocument/2006/relationships/worksheet" Target="/xl/worksheets/sheet4.xml" Id="R1fc48c1356134049" /><Relationship Type="http://schemas.openxmlformats.org/officeDocument/2006/relationships/worksheet" Target="/xl/worksheets/sheet5.xml" Id="Rd300f33773ec4d10" /><Relationship Type="http://schemas.openxmlformats.org/officeDocument/2006/relationships/worksheet" Target="/xl/worksheets/sheet6.xml" Id="Rb3cd7fd99b404e30" /><Relationship Type="http://schemas.openxmlformats.org/officeDocument/2006/relationships/worksheet" Target="/xl/worksheets/sheet7.xml" Id="R13c3789339714b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1e5dca657e84f5a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e5dca657e84f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e5dca657e84f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e5dca657e84f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e5dca657e84f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CleanArtifactInfo" displayName="CleanArtifactInfo" ref="A1:I59" headerRowCount="1" totalsRowCount="0" totalsRowShown="0">
  <x:tableColumns count="9">
    <x:tableColumn id="1" name="文物编号"/>
    <x:tableColumn id="2" name="纹饰"/>
    <x:tableColumn id="3" name="类型"/>
    <x:tableColumn id="4" name="颜色"/>
    <x:tableColumn id="5" name="表面风化"/>
    <x:tableColumn id="6" name="清洗颜色"/>
    <x:tableColumn id="7" name="风化编码"/>
    <x:tableColumn id="8" name="颜色缺失"/>
    <x:tableColumn id="9" name="数据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CompositionPoints" displayName="CleanCompositionPoints" ref="A1:AL70" headerRowCount="1" totalsRowCount="0" totalsRowShown="0">
  <x:tableColumns count="38">
    <x:tableColumn id="1" name="文物采样点"/>
    <x:tableColumn id="2" name="二氧化硅(SiO2)"/>
    <x:tableColumn id="3" name="氧化钠(Na2O)"/>
    <x:tableColumn id="4" name="氧化钾(K2O)"/>
    <x:tableColumn id="5" name="氧化钙(CaO)"/>
    <x:tableColumn id="6" name="氧化镁(MgO)"/>
    <x:tableColumn id="7" name="氧化铝(Al2O3)"/>
    <x:tableColumn id="8" name="氧化铁(Fe2O3)"/>
    <x:tableColumn id="9" name="氧化铜(CuO)"/>
    <x:tableColumn id="10" name="氧化铅(PbO)"/>
    <x:tableColumn id="11" name="氧化钡(BaO)"/>
    <x:tableColumn id="12" name="五氧化二磷(P2O5)"/>
    <x:tableColumn id="13" name="氧化锶(SrO)"/>
    <x:tableColumn id="14" name="氧化锡(SnO2)"/>
    <x:tableColumn id="15" name="二氧化硫(SO2)"/>
    <x:tableColumn id="16" name="文物编号"/>
    <x:tableColumn id="17" name="采样点类型"/>
    <x:tableColumn id="18" name="玻璃类型"/>
    <x:tableColumn id="19" name="文物整体风化"/>
    <x:tableColumn id="20" name="采样点实际风化"/>
    <x:tableColumn id="21" name="原始成分总和"/>
    <x:tableColumn id="22" name="数据有效性"/>
    <x:tableColumn id="23" name="未检出成分数"/>
    <x:tableColumn id="24" name="二氧化硅(SiO2)_归一化"/>
    <x:tableColumn id="25" name="氧化钠(Na2O)_归一化"/>
    <x:tableColumn id="26" name="氧化钾(K2O)_归一化"/>
    <x:tableColumn id="27" name="氧化钙(CaO)_归一化"/>
    <x:tableColumn id="28" name="氧化镁(MgO)_归一化"/>
    <x:tableColumn id="29" name="氧化铝(Al2O3)_归一化"/>
    <x:tableColumn id="30" name="氧化铁(Fe2O3)_归一化"/>
    <x:tableColumn id="31" name="氧化铜(CuO)_归一化"/>
    <x:tableColumn id="32" name="氧化铅(PbO)_归一化"/>
    <x:tableColumn id="33" name="氧化钡(BaO)_归一化"/>
    <x:tableColumn id="34" name="五氧化二磷(P2O5)_归一化"/>
    <x:tableColumn id="35" name="氧化锶(SrO)_归一化"/>
    <x:tableColumn id="36" name="氧化锡(SnO2)_归一化"/>
    <x:tableColumn id="37" name="二氧化硫(SO2)_归一化"/>
    <x:tableColumn id="38" name="归一化合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ReadyComposition" displayName="ModelReadyComposition" ref="A1:V68" headerRowCount="1" totalsRowCount="0" totalsRowShown="0">
  <x:tableColumns count="22">
    <x:tableColumn id="1" name="采样点"/>
    <x:tableColumn id="2" name="文物编号"/>
    <x:tableColumn id="3" name="采样点类型"/>
    <x:tableColumn id="4" name="玻璃类型"/>
    <x:tableColumn id="5" name="实际风化"/>
    <x:tableColumn id="6" name="原始成分总和"/>
    <x:tableColumn id="7" name="未检出数"/>
    <x:tableColumn id="8" name="二氧化硅(SiO2)_归一化"/>
    <x:tableColumn id="9" name="氧化钠(Na2O)_归一化"/>
    <x:tableColumn id="10" name="氧化钾(K2O)_归一化"/>
    <x:tableColumn id="11" name="氧化钙(CaO)_归一化"/>
    <x:tableColumn id="12" name="氧化镁(MgO)_归一化"/>
    <x:tableColumn id="13" name="氧化铝(Al2O3)_归一化"/>
    <x:tableColumn id="14" name="氧化铁(Fe2O3)_归一化"/>
    <x:tableColumn id="15" name="氧化铜(CuO)_归一化"/>
    <x:tableColumn id="16" name="氧化铅(PbO)_归一化"/>
    <x:tableColumn id="17" name="氧化钡(BaO)_归一化"/>
    <x:tableColumn id="18" name="五氧化二磷(P2O5)_归一化"/>
    <x:tableColumn id="19" name="氧化锶(SrO)_归一化"/>
    <x:tableColumn id="20" name="氧化锡(SnO2)_归一化"/>
    <x:tableColumn id="21" name="二氧化硫(SO2)_归一化"/>
    <x:tableColumn id="22" name="归一化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dfef6472dc42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d4e4130ffa247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729bb5db57a4a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ec5f8df6f2b456b" /></Relationships>
</file>

<file path=xl/worksheets/sheet1.xml><?xml version="1.0" encoding="utf-8"?>
<x:worksheet xmlns:x="http://schemas.openxmlformats.org/spreadsheetml/2006/main">
  <x:sheetFormatPr baseColWidth="10" defaultColWidth="8.6640625" defaultRowHeight="14"/>
  <x:cols>
    <x:col min="1" max="1" width="10.6640625" style="2" customWidth="1"/>
    <x:col min="2" max="5" width="10.6640625" style="6" customWidth="1"/>
    <x:col min="6" max="16384" width="8.6640625" style="6" customWidth="0"/>
  </x:cols>
  <x:sheetData>
    <x:row r="1" s="19" customFormat="1" ht="14" customHeight="1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</x:row>
    <x:row r="2" ht="15">
      <x:c r="A2" s="7" t="s">
        <x:v>5</x:v>
      </x:c>
      <x:c r="B2" s="4" t="s">
        <x:v>6</x:v>
      </x:c>
      <x:c r="C2" s="3" t="s">
        <x:v>7</x:v>
      </x:c>
      <x:c r="D2" s="4" t="s">
        <x:v>8</x:v>
      </x:c>
      <x:c r="E2" s="3" t="s">
        <x:v>9</x:v>
      </x:c>
    </x:row>
    <x:row r="3" ht="15">
      <x:c r="A3" s="7" t="s">
        <x:v>10</x:v>
      </x:c>
      <x:c r="B3" s="3" t="s">
        <x:v>11</x:v>
      </x:c>
      <x:c r="C3" s="4" t="s">
        <x:v>12</x:v>
      </x:c>
      <x:c r="D3" s="3" t="s">
        <x:v>13</x:v>
      </x:c>
      <x:c r="E3" s="3" t="s">
        <x:v>14</x:v>
      </x:c>
    </x:row>
    <x:row r="4" ht="15">
      <x:c r="A4" s="7" t="s">
        <x:v>15</x:v>
      </x:c>
      <x:c r="B4" s="3" t="s">
        <x:v>11</x:v>
      </x:c>
      <x:c r="C4" s="3" t="s">
        <x:v>7</x:v>
      </x:c>
      <x:c r="D4" s="3" t="s">
        <x:v>8</x:v>
      </x:c>
      <x:c r="E4" s="3" t="s">
        <x:v>9</x:v>
      </x:c>
    </x:row>
    <x:row r="5" ht="15">
      <x:c r="A5" s="7" t="s">
        <x:v>16</x:v>
      </x:c>
      <x:c r="B5" s="3" t="s">
        <x:v>11</x:v>
      </x:c>
      <x:c r="C5" s="3" t="s">
        <x:v>7</x:v>
      </x:c>
      <x:c r="D5" s="4" t="s">
        <x:v>8</x:v>
      </x:c>
      <x:c r="E5" s="3" t="s">
        <x:v>9</x:v>
      </x:c>
    </x:row>
    <x:row r="6" ht="15">
      <x:c r="A6" s="7" t="s">
        <x:v>17</x:v>
      </x:c>
      <x:c r="B6" s="3" t="s">
        <x:v>11</x:v>
      </x:c>
      <x:c r="C6" s="3" t="s">
        <x:v>7</x:v>
      </x:c>
      <x:c r="D6" s="4" t="s">
        <x:v>8</x:v>
      </x:c>
      <x:c r="E6" s="3" t="s">
        <x:v>9</x:v>
      </x:c>
    </x:row>
    <x:row r="7" ht="15">
      <x:c r="A7" s="7" t="s">
        <x:v>18</x:v>
      </x:c>
      <x:c r="B7" s="3" t="s">
        <x:v>11</x:v>
      </x:c>
      <x:c r="C7" s="3" t="s">
        <x:v>7</x:v>
      </x:c>
      <x:c r="D7" s="3" t="s">
        <x:v>8</x:v>
      </x:c>
      <x:c r="E7" s="3" t="s">
        <x:v>9</x:v>
      </x:c>
    </x:row>
    <x:row r="8" ht="15">
      <x:c r="A8" s="7" t="s">
        <x:v>19</x:v>
      </x:c>
      <x:c r="B8" s="4" t="s">
        <x:v>20</x:v>
      </x:c>
      <x:c r="C8" s="3" t="s">
        <x:v>7</x:v>
      </x:c>
      <x:c r="D8" s="4" t="s">
        <x:v>8</x:v>
      </x:c>
      <x:c r="E8" s="3" t="s">
        <x:v>14</x:v>
      </x:c>
    </x:row>
    <x:row r="9" ht="15">
      <x:c r="A9" s="7" t="s">
        <x:v>21</x:v>
      </x:c>
      <x:c r="B9" s="3" t="s">
        <x:v>6</x:v>
      </x:c>
      <x:c r="C9" s="4" t="s">
        <x:v>12</x:v>
      </x:c>
      <x:c r="D9" s="3" t="s">
        <x:v>22</x:v>
      </x:c>
      <x:c r="E9" s="3" t="s">
        <x:v>14</x:v>
      </x:c>
    </x:row>
    <x:row r="10" ht="15">
      <x:c r="A10" s="7" t="s">
        <x:v>23</x:v>
      </x:c>
      <x:c r="B10" s="4" t="s">
        <x:v>20</x:v>
      </x:c>
      <x:c r="C10" s="3" t="s">
        <x:v>7</x:v>
      </x:c>
      <x:c r="D10" s="4" t="s">
        <x:v>8</x:v>
      </x:c>
      <x:c r="E10" s="3" t="s">
        <x:v>14</x:v>
      </x:c>
    </x:row>
    <x:row r="11" ht="15">
      <x:c r="A11" s="7" t="s">
        <x:v>24</x:v>
      </x:c>
      <x:c r="B11" s="4" t="s">
        <x:v>20</x:v>
      </x:c>
      <x:c r="C11" s="3" t="s">
        <x:v>7</x:v>
      </x:c>
      <x:c r="D11" s="4" t="s">
        <x:v>8</x:v>
      </x:c>
      <x:c r="E11" s="3" t="s">
        <x:v>14</x:v>
      </x:c>
    </x:row>
    <x:row r="12" ht="15">
      <x:c r="A12" s="7" t="s">
        <x:v>25</x:v>
      </x:c>
      <x:c r="B12" s="3" t="s">
        <x:v>6</x:v>
      </x:c>
      <x:c r="C12" s="4" t="s">
        <x:v>12</x:v>
      </x:c>
      <x:c r="D12" s="3" t="s">
        <x:v>13</x:v>
      </x:c>
      <x:c r="E12" s="3" t="s">
        <x:v>14</x:v>
      </x:c>
    </x:row>
    <x:row r="13" ht="15">
      <x:c r="A13" s="7" t="s">
        <x:v>26</x:v>
      </x:c>
      <x:c r="B13" s="4" t="s">
        <x:v>20</x:v>
      </x:c>
      <x:c r="C13" s="3" t="s">
        <x:v>7</x:v>
      </x:c>
      <x:c r="D13" s="4" t="s">
        <x:v>8</x:v>
      </x:c>
      <x:c r="E13" s="3" t="s">
        <x:v>14</x:v>
      </x:c>
    </x:row>
    <x:row r="14" ht="15">
      <x:c r="A14" s="7" t="s">
        <x:v>27</x:v>
      </x:c>
      <x:c r="B14" s="3" t="s">
        <x:v>6</x:v>
      </x:c>
      <x:c r="C14" s="3" t="s">
        <x:v>7</x:v>
      </x:c>
      <x:c r="D14" s="3" t="s">
        <x:v>13</x:v>
      </x:c>
      <x:c r="E14" s="3" t="s">
        <x:v>9</x:v>
      </x:c>
    </x:row>
    <x:row r="15" ht="15">
      <x:c r="A15" s="7" t="s">
        <x:v>28</x:v>
      </x:c>
      <x:c r="B15" s="3" t="s">
        <x:v>6</x:v>
      </x:c>
      <x:c r="C15" s="3" t="s">
        <x:v>7</x:v>
      </x:c>
      <x:c r="D15" s="3" t="s">
        <x:v>29</x:v>
      </x:c>
      <x:c r="E15" s="3" t="s">
        <x:v>9</x:v>
      </x:c>
    </x:row>
    <x:row r="16" ht="15">
      <x:c r="A16" s="7" t="s">
        <x:v>30</x:v>
      </x:c>
      <x:c r="B16" s="3" t="s">
        <x:v>6</x:v>
      </x:c>
      <x:c r="C16" s="3" t="s">
        <x:v>7</x:v>
      </x:c>
      <x:c r="D16" s="3" t="s">
        <x:v>13</x:v>
      </x:c>
      <x:c r="E16" s="3" t="s">
        <x:v>9</x:v>
      </x:c>
    </x:row>
    <x:row r="17" ht="15">
      <x:c r="A17" s="7" t="s">
        <x:v>31</x:v>
      </x:c>
      <x:c r="B17" s="3" t="s">
        <x:v>6</x:v>
      </x:c>
      <x:c r="C17" s="3" t="s">
        <x:v>7</x:v>
      </x:c>
      <x:c r="D17" s="3" t="s">
        <x:v>13</x:v>
      </x:c>
      <x:c r="E17" s="3" t="s">
        <x:v>9</x:v>
      </x:c>
    </x:row>
    <x:row r="18" ht="15">
      <x:c r="A18" s="7" t="s">
        <x:v>32</x:v>
      </x:c>
      <x:c r="B18" s="3" t="s">
        <x:v>6</x:v>
      </x:c>
      <x:c r="C18" s="3" t="s">
        <x:v>7</x:v>
      </x:c>
      <x:c r="D18" s="3" t="s">
        <x:v>13</x:v>
      </x:c>
      <x:c r="E18" s="3" t="s">
        <x:v>9</x:v>
      </x:c>
    </x:row>
    <x:row r="19" ht="15">
      <x:c r="A19" s="7" t="s">
        <x:v>33</x:v>
      </x:c>
      <x:c r="B19" s="3" t="s">
        <x:v>11</x:v>
      </x:c>
      <x:c r="C19" s="3" t="s">
        <x:v>7</x:v>
      </x:c>
      <x:c r="D19" s="3" t="s">
        <x:v>34</x:v>
      </x:c>
      <x:c r="E19" s="3" t="s">
        <x:v>9</x:v>
      </x:c>
    </x:row>
    <x:row r="20" ht="15">
      <x:c r="A20" s="7" t="s">
        <x:v>35</x:v>
      </x:c>
      <x:c r="B20" s="4" t="s">
        <x:v>11</x:v>
      </x:c>
      <x:c r="C20" s="4" t="s">
        <x:v>12</x:v>
      </x:c>
      <x:c r="D20" s="4"/>
      <x:c r="E20" s="3" t="s">
        <x:v>14</x:v>
      </x:c>
    </x:row>
    <x:row r="21" ht="15">
      <x:c r="A21" s="7" t="s">
        <x:v>36</x:v>
      </x:c>
      <x:c r="B21" s="3" t="s">
        <x:v>11</x:v>
      </x:c>
      <x:c r="C21" s="4" t="s">
        <x:v>12</x:v>
      </x:c>
      <x:c r="D21" s="3" t="s">
        <x:v>13</x:v>
      </x:c>
      <x:c r="E21" s="3" t="s">
        <x:v>9</x:v>
      </x:c>
    </x:row>
    <x:row r="22" ht="15">
      <x:c r="A22" s="7" t="s">
        <x:v>37</x:v>
      </x:c>
      <x:c r="B22" s="3" t="s">
        <x:v>11</x:v>
      </x:c>
      <x:c r="C22" s="3" t="s">
        <x:v>7</x:v>
      </x:c>
      <x:c r="D22" s="3" t="s">
        <x:v>8</x:v>
      </x:c>
      <x:c r="E22" s="3" t="s">
        <x:v>9</x:v>
      </x:c>
    </x:row>
    <x:row r="23" ht="15">
      <x:c r="A23" s="7" t="s">
        <x:v>38</x:v>
      </x:c>
      <x:c r="B23" s="4" t="s">
        <x:v>20</x:v>
      </x:c>
      <x:c r="C23" s="3" t="s">
        <x:v>7</x:v>
      </x:c>
      <x:c r="D23" s="4" t="s">
        <x:v>8</x:v>
      </x:c>
      <x:c r="E23" s="3" t="s">
        <x:v>14</x:v>
      </x:c>
    </x:row>
    <x:row r="24" ht="15">
      <x:c r="A24" s="7" t="s">
        <x:v>39</x:v>
      </x:c>
      <x:c r="B24" s="3" t="s">
        <x:v>11</x:v>
      </x:c>
      <x:c r="C24" s="4" t="s">
        <x:v>12</x:v>
      </x:c>
      <x:c r="D24" s="3" t="s">
        <x:v>8</x:v>
      </x:c>
      <x:c r="E24" s="3" t="s">
        <x:v>14</x:v>
      </x:c>
    </x:row>
    <x:row r="25" ht="15">
      <x:c r="A25" s="7" t="s">
        <x:v>40</x:v>
      </x:c>
      <x:c r="B25" s="3" t="s">
        <x:v>6</x:v>
      </x:c>
      <x:c r="C25" s="4" t="s">
        <x:v>12</x:v>
      </x:c>
      <x:c r="D25" s="3" t="s">
        <x:v>22</x:v>
      </x:c>
      <x:c r="E25" s="3" t="s">
        <x:v>9</x:v>
      </x:c>
    </x:row>
    <x:row r="26" ht="15">
      <x:c r="A26" s="7" t="s">
        <x:v>41</x:v>
      </x:c>
      <x:c r="B26" s="3" t="s">
        <x:v>6</x:v>
      </x:c>
      <x:c r="C26" s="4" t="s">
        <x:v>12</x:v>
      </x:c>
      <x:c r="D26" s="3" t="s">
        <x:v>13</x:v>
      </x:c>
      <x:c r="E26" s="3" t="s">
        <x:v>14</x:v>
      </x:c>
    </x:row>
    <x:row r="27" ht="15">
      <x:c r="A27" s="7" t="s">
        <x:v>42</x:v>
      </x:c>
      <x:c r="B27" s="3" t="s">
        <x:v>6</x:v>
      </x:c>
      <x:c r="C27" s="4" t="s">
        <x:v>12</x:v>
      </x:c>
      <x:c r="D27" s="3" t="s">
        <x:v>22</x:v>
      </x:c>
      <x:c r="E27" s="3" t="s">
        <x:v>14</x:v>
      </x:c>
    </x:row>
    <x:row r="28" ht="15">
      <x:c r="A28" s="7" t="s">
        <x:v>43</x:v>
      </x:c>
      <x:c r="B28" s="4" t="s">
        <x:v>20</x:v>
      </x:c>
      <x:c r="C28" s="3" t="s">
        <x:v>7</x:v>
      </x:c>
      <x:c r="D28" s="4" t="s">
        <x:v>8</x:v>
      </x:c>
      <x:c r="E28" s="3" t="s">
        <x:v>14</x:v>
      </x:c>
    </x:row>
    <x:row r="29" ht="15">
      <x:c r="A29" s="7" t="s">
        <x:v>44</x:v>
      </x:c>
      <x:c r="B29" s="3" t="s">
        <x:v>11</x:v>
      </x:c>
      <x:c r="C29" s="4" t="s">
        <x:v>12</x:v>
      </x:c>
      <x:c r="D29" s="3" t="s">
        <x:v>13</x:v>
      </x:c>
      <x:c r="E29" s="3" t="s">
        <x:v>14</x:v>
      </x:c>
    </x:row>
    <x:row r="30" ht="15">
      <x:c r="A30" s="7" t="s">
        <x:v>45</x:v>
      </x:c>
      <x:c r="B30" s="3" t="s">
        <x:v>11</x:v>
      </x:c>
      <x:c r="C30" s="4" t="s">
        <x:v>12</x:v>
      </x:c>
      <x:c r="D30" s="3" t="s">
        <x:v>13</x:v>
      </x:c>
      <x:c r="E30" s="3" t="s">
        <x:v>14</x:v>
      </x:c>
    </x:row>
    <x:row r="31" ht="15">
      <x:c r="A31" s="7" t="s">
        <x:v>46</x:v>
      </x:c>
      <x:c r="B31" s="3" t="s">
        <x:v>11</x:v>
      </x:c>
      <x:c r="C31" s="4" t="s">
        <x:v>12</x:v>
      </x:c>
      <x:c r="D31" s="3" t="s">
        <x:v>34</x:v>
      </x:c>
      <x:c r="E31" s="3" t="s">
        <x:v>9</x:v>
      </x:c>
    </x:row>
    <x:row r="32" ht="15">
      <x:c r="A32" s="7" t="s">
        <x:v>47</x:v>
      </x:c>
      <x:c r="B32" s="3" t="s">
        <x:v>6</x:v>
      </x:c>
      <x:c r="C32" s="4" t="s">
        <x:v>12</x:v>
      </x:c>
      <x:c r="D32" s="3" t="s">
        <x:v>22</x:v>
      </x:c>
      <x:c r="E32" s="3" t="s">
        <x:v>9</x:v>
      </x:c>
    </x:row>
    <x:row r="33" ht="15">
      <x:c r="A33" s="7" t="s">
        <x:v>48</x:v>
      </x:c>
      <x:c r="B33" s="3" t="s">
        <x:v>6</x:v>
      </x:c>
      <x:c r="C33" s="4" t="s">
        <x:v>12</x:v>
      </x:c>
      <x:c r="D33" s="3" t="s">
        <x:v>49</x:v>
      </x:c>
      <x:c r="E33" s="3" t="s">
        <x:v>9</x:v>
      </x:c>
    </x:row>
    <x:row r="34" ht="15">
      <x:c r="A34" s="7" t="s">
        <x:v>50</x:v>
      </x:c>
      <x:c r="B34" s="3" t="s">
        <x:v>6</x:v>
      </x:c>
      <x:c r="C34" s="4" t="s">
        <x:v>12</x:v>
      </x:c>
      <x:c r="D34" s="3" t="s">
        <x:v>29</x:v>
      </x:c>
      <x:c r="E34" s="3" t="s">
        <x:v>9</x:v>
      </x:c>
    </x:row>
    <x:row r="35" ht="15">
      <x:c r="A35" s="7" t="s">
        <x:v>51</x:v>
      </x:c>
      <x:c r="B35" s="3" t="s">
        <x:v>6</x:v>
      </x:c>
      <x:c r="C35" s="4" t="s">
        <x:v>12</x:v>
      </x:c>
      <x:c r="D35" s="3" t="s">
        <x:v>29</x:v>
      </x:c>
      <x:c r="E35" s="3" t="s">
        <x:v>14</x:v>
      </x:c>
    </x:row>
    <x:row r="36" ht="15">
      <x:c r="A36" s="7" t="s">
        <x:v>52</x:v>
      </x:c>
      <x:c r="B36" s="3" t="s">
        <x:v>6</x:v>
      </x:c>
      <x:c r="C36" s="4" t="s">
        <x:v>12</x:v>
      </x:c>
      <x:c r="D36" s="3" t="s">
        <x:v>49</x:v>
      </x:c>
      <x:c r="E36" s="3" t="s">
        <x:v>9</x:v>
      </x:c>
    </x:row>
    <x:row r="37" ht="15">
      <x:c r="A37" s="7" t="s">
        <x:v>53</x:v>
      </x:c>
      <x:c r="B37" s="3" t="s">
        <x:v>6</x:v>
      </x:c>
      <x:c r="C37" s="4" t="s">
        <x:v>12</x:v>
      </x:c>
      <x:c r="D37" s="3" t="s">
        <x:v>29</x:v>
      </x:c>
      <x:c r="E37" s="3" t="s">
        <x:v>14</x:v>
      </x:c>
    </x:row>
    <x:row r="38" ht="15">
      <x:c r="A38" s="7" t="s">
        <x:v>54</x:v>
      </x:c>
      <x:c r="B38" s="3" t="s">
        <x:v>6</x:v>
      </x:c>
      <x:c r="C38" s="4" t="s">
        <x:v>12</x:v>
      </x:c>
      <x:c r="D38" s="3" t="s">
        <x:v>29</x:v>
      </x:c>
      <x:c r="E38" s="3" t="s">
        <x:v>9</x:v>
      </x:c>
    </x:row>
    <x:row r="39" ht="15">
      <x:c r="A39" s="7" t="s">
        <x:v>55</x:v>
      </x:c>
      <x:c r="B39" s="3" t="s">
        <x:v>6</x:v>
      </x:c>
      <x:c r="C39" s="4" t="s">
        <x:v>12</x:v>
      </x:c>
      <x:c r="D39" s="3" t="s">
        <x:v>29</x:v>
      </x:c>
      <x:c r="E39" s="3" t="s">
        <x:v>14</x:v>
      </x:c>
    </x:row>
    <x:row r="40" ht="15">
      <x:c r="A40" s="7" t="s">
        <x:v>56</x:v>
      </x:c>
      <x:c r="B40" s="3" t="s">
        <x:v>6</x:v>
      </x:c>
      <x:c r="C40" s="4" t="s">
        <x:v>12</x:v>
      </x:c>
      <x:c r="D40" s="3" t="s">
        <x:v>29</x:v>
      </x:c>
      <x:c r="E40" s="3" t="s">
        <x:v>14</x:v>
      </x:c>
    </x:row>
    <x:row r="41" ht="15">
      <x:c r="A41" s="7" t="s">
        <x:v>57</x:v>
      </x:c>
      <x:c r="B41" s="3" t="s">
        <x:v>6</x:v>
      </x:c>
      <x:c r="C41" s="4" t="s">
        <x:v>12</x:v>
      </x:c>
      <x:c r="D41" s="3"/>
      <x:c r="E41" s="3" t="s">
        <x:v>14</x:v>
      </x:c>
    </x:row>
    <x:row r="42" ht="15">
      <x:c r="A42" s="7" t="s">
        <x:v>58</x:v>
      </x:c>
      <x:c r="B42" s="3" t="s">
        <x:v>6</x:v>
      </x:c>
      <x:c r="C42" s="4" t="s">
        <x:v>12</x:v>
      </x:c>
      <x:c r="D42" s="3" t="s">
        <x:v>49</x:v>
      </x:c>
      <x:c r="E42" s="3" t="s">
        <x:v>14</x:v>
      </x:c>
    </x:row>
    <x:row r="43" ht="15">
      <x:c r="A43" s="7" t="s">
        <x:v>59</x:v>
      </x:c>
      <x:c r="B43" s="3" t="s">
        <x:v>11</x:v>
      </x:c>
      <x:c r="C43" s="4" t="s">
        <x:v>12</x:v>
      </x:c>
      <x:c r="D43" s="3" t="s">
        <x:v>13</x:v>
      </x:c>
      <x:c r="E43" s="3" t="s">
        <x:v>14</x:v>
      </x:c>
    </x:row>
    <x:row r="44" ht="15">
      <x:c r="A44" s="7" t="s">
        <x:v>60</x:v>
      </x:c>
      <x:c r="B44" s="3" t="s">
        <x:v>6</x:v>
      </x:c>
      <x:c r="C44" s="4" t="s">
        <x:v>12</x:v>
      </x:c>
      <x:c r="D44" s="3" t="s">
        <x:v>13</x:v>
      </x:c>
      <x:c r="E44" s="3" t="s">
        <x:v>14</x:v>
      </x:c>
    </x:row>
    <x:row r="45" ht="15">
      <x:c r="A45" s="7" t="s">
        <x:v>61</x:v>
      </x:c>
      <x:c r="B45" s="3" t="s">
        <x:v>11</x:v>
      </x:c>
      <x:c r="C45" s="4" t="s">
        <x:v>12</x:v>
      </x:c>
      <x:c r="D45" s="3" t="s">
        <x:v>13</x:v>
      </x:c>
      <x:c r="E45" s="3" t="s">
        <x:v>14</x:v>
      </x:c>
    </x:row>
    <x:row r="46" ht="15">
      <x:c r="A46" s="7" t="s">
        <x:v>62</x:v>
      </x:c>
      <x:c r="B46" s="3" t="s">
        <x:v>11</x:v>
      </x:c>
      <x:c r="C46" s="4" t="s">
        <x:v>12</x:v>
      </x:c>
      <x:c r="D46" s="3" t="s">
        <x:v>13</x:v>
      </x:c>
      <x:c r="E46" s="3" t="s">
        <x:v>9</x:v>
      </x:c>
    </x:row>
    <x:row r="47" ht="15">
      <x:c r="A47" s="7" t="s">
        <x:v>63</x:v>
      </x:c>
      <x:c r="B47" s="3" t="s">
        <x:v>11</x:v>
      </x:c>
      <x:c r="C47" s="4" t="s">
        <x:v>12</x:v>
      </x:c>
      <x:c r="D47" s="3" t="s">
        <x:v>13</x:v>
      </x:c>
      <x:c r="E47" s="3" t="s">
        <x:v>9</x:v>
      </x:c>
    </x:row>
    <x:row r="48" ht="15">
      <x:c r="A48" s="7" t="s">
        <x:v>64</x:v>
      </x:c>
      <x:c r="B48" s="3" t="s">
        <x:v>11</x:v>
      </x:c>
      <x:c r="C48" s="4" t="s">
        <x:v>12</x:v>
      </x:c>
      <x:c r="D48" s="3" t="s">
        <x:v>13</x:v>
      </x:c>
      <x:c r="E48" s="3" t="s">
        <x:v>9</x:v>
      </x:c>
    </x:row>
    <x:row r="49" ht="15">
      <x:c r="A49" s="7" t="s">
        <x:v>65</x:v>
      </x:c>
      <x:c r="B49" s="3" t="s">
        <x:v>11</x:v>
      </x:c>
      <x:c r="C49" s="4" t="s">
        <x:v>12</x:v>
      </x:c>
      <x:c r="D49" s="3"/>
      <x:c r="E49" s="3" t="s">
        <x:v>14</x:v>
      </x:c>
    </x:row>
    <x:row r="50" ht="15">
      <x:c r="A50" s="7" t="s">
        <x:v>66</x:v>
      </x:c>
      <x:c r="B50" s="3" t="s">
        <x:v>11</x:v>
      </x:c>
      <x:c r="C50" s="4" t="s">
        <x:v>12</x:v>
      </x:c>
      <x:c r="D50" s="3" t="s">
        <x:v>67</x:v>
      </x:c>
      <x:c r="E50" s="3" t="s">
        <x:v>14</x:v>
      </x:c>
    </x:row>
    <x:row r="51" ht="15">
      <x:c r="A51" s="7" t="s">
        <x:v>68</x:v>
      </x:c>
      <x:c r="B51" s="3" t="s">
        <x:v>11</x:v>
      </x:c>
      <x:c r="C51" s="4" t="s">
        <x:v>12</x:v>
      </x:c>
      <x:c r="D51" s="3" t="s">
        <x:v>67</x:v>
      </x:c>
      <x:c r="E51" s="3" t="s">
        <x:v>14</x:v>
      </x:c>
    </x:row>
    <x:row r="52" ht="15">
      <x:c r="A52" s="7" t="s">
        <x:v>69</x:v>
      </x:c>
      <x:c r="B52" s="3" t="s">
        <x:v>6</x:v>
      </x:c>
      <x:c r="C52" s="4" t="s">
        <x:v>12</x:v>
      </x:c>
      <x:c r="D52" s="3" t="s">
        <x:v>13</x:v>
      </x:c>
      <x:c r="E52" s="3" t="s">
        <x:v>14</x:v>
      </x:c>
    </x:row>
    <x:row r="53" ht="15">
      <x:c r="A53" s="7" t="s">
        <x:v>70</x:v>
      </x:c>
      <x:c r="B53" s="3" t="s">
        <x:v>6</x:v>
      </x:c>
      <x:c r="C53" s="4" t="s">
        <x:v>12</x:v>
      </x:c>
      <x:c r="D53" s="3" t="s">
        <x:v>13</x:v>
      </x:c>
      <x:c r="E53" s="3" t="s">
        <x:v>14</x:v>
      </x:c>
    </x:row>
    <x:row r="54" ht="15">
      <x:c r="A54" s="7" t="s">
        <x:v>71</x:v>
      </x:c>
      <x:c r="B54" s="3" t="s">
        <x:v>11</x:v>
      </x:c>
      <x:c r="C54" s="4" t="s">
        <x:v>12</x:v>
      </x:c>
      <x:c r="D54" s="3" t="s">
        <x:v>13</x:v>
      </x:c>
      <x:c r="E54" s="3" t="s">
        <x:v>14</x:v>
      </x:c>
    </x:row>
    <x:row r="55" ht="15">
      <x:c r="A55" s="7" t="s">
        <x:v>72</x:v>
      </x:c>
      <x:c r="B55" s="3" t="s">
        <x:v>6</x:v>
      </x:c>
      <x:c r="C55" s="4" t="s">
        <x:v>12</x:v>
      </x:c>
      <x:c r="D55" s="3" t="s">
        <x:v>13</x:v>
      </x:c>
      <x:c r="E55" s="3" t="s">
        <x:v>14</x:v>
      </x:c>
    </x:row>
    <x:row r="56" ht="15">
      <x:c r="A56" s="7" t="s">
        <x:v>73</x:v>
      </x:c>
      <x:c r="B56" s="3" t="s">
        <x:v>6</x:v>
      </x:c>
      <x:c r="C56" s="4" t="s">
        <x:v>12</x:v>
      </x:c>
      <x:c r="D56" s="3" t="s">
        <x:v>74</x:v>
      </x:c>
      <x:c r="E56" s="3" t="s">
        <x:v>9</x:v>
      </x:c>
    </x:row>
    <x:row r="57" ht="15">
      <x:c r="A57" s="7" t="s">
        <x:v>75</x:v>
      </x:c>
      <x:c r="B57" s="3" t="s">
        <x:v>6</x:v>
      </x:c>
      <x:c r="C57" s="4" t="s">
        <x:v>12</x:v>
      </x:c>
      <x:c r="D57" s="3" t="s">
        <x:v>8</x:v>
      </x:c>
      <x:c r="E57" s="3" t="s">
        <x:v>14</x:v>
      </x:c>
    </x:row>
    <x:row r="58" ht="15">
      <x:c r="A58" s="7" t="s">
        <x:v>76</x:v>
      </x:c>
      <x:c r="B58" s="3" t="s">
        <x:v>6</x:v>
      </x:c>
      <x:c r="C58" s="4" t="s">
        <x:v>12</x:v>
      </x:c>
      <x:c r="D58" s="3" t="s">
        <x:v>8</x:v>
      </x:c>
      <x:c r="E58" s="3" t="s">
        <x:v>14</x:v>
      </x:c>
    </x:row>
    <x:row r="59" ht="15">
      <x:c r="A59" s="7" t="s">
        <x:v>77</x:v>
      </x:c>
      <x:c r="B59" s="3" t="s">
        <x:v>6</x:v>
      </x:c>
      <x:c r="C59" s="3" t="s">
        <x:v>12</x:v>
      </x:c>
      <x:c r="D59" s="3"/>
      <x:c r="E59" s="3" t="s">
        <x:v>14</x:v>
      </x:c>
    </x:row>
  </x:sheetData>
  <x:pageMargins left="0.7" right="0.7" top="0.75" bottom="0.75" header="0.3" footer="0.3"/>
  <x:drawing xmlns:r="http://schemas.openxmlformats.org/officeDocument/2006/relationships" r:id="R55dfef6472dc4262"/>
</x:worksheet>
</file>

<file path=xl/worksheets/sheet2.xml><?xml version="1.0" encoding="utf-8"?>
<x:worksheet xmlns:x="http://schemas.openxmlformats.org/spreadsheetml/2006/main">
  <x:sheetFormatPr baseColWidth="10" defaultColWidth="8.6640625" defaultRowHeight="14"/>
  <x:cols>
    <x:col min="1" max="1" width="12.6640625" style="13" customWidth="1"/>
    <x:col min="2" max="15" width="10.6640625" style="11" customWidth="1"/>
    <x:col min="16" max="16384" width="8.6640625" style="11" customWidth="0"/>
  </x:cols>
  <x:sheetData>
    <x:row r="1" s="8" customFormat="1" ht="33">
      <x:c r="A1" s="21" t="s">
        <x:v>78</x:v>
      </x:c>
      <x:c r="B1" s="22" t="s">
        <x:v>79</x:v>
      </x:c>
      <x:c r="C1" s="22" t="s">
        <x:v>80</x:v>
      </x:c>
      <x:c r="D1" s="22" t="s">
        <x:v>81</x:v>
      </x:c>
      <x:c r="E1" s="22" t="s">
        <x:v>82</x:v>
      </x:c>
      <x:c r="F1" s="22" t="s">
        <x:v>83</x:v>
      </x:c>
      <x:c r="G1" s="22" t="s">
        <x:v>84</x:v>
      </x:c>
      <x:c r="H1" s="22" t="s">
        <x:v>85</x:v>
      </x:c>
      <x:c r="I1" s="22" t="s">
        <x:v>86</x:v>
      </x:c>
      <x:c r="J1" s="22" t="s">
        <x:v>87</x:v>
      </x:c>
      <x:c r="K1" s="22" t="s">
        <x:v>88</x:v>
      </x:c>
      <x:c r="L1" s="22" t="s">
        <x:v>89</x:v>
      </x:c>
      <x:c r="M1" s="22" t="s">
        <x:v>90</x:v>
      </x:c>
      <x:c r="N1" s="22" t="s">
        <x:v>91</x:v>
      </x:c>
      <x:c r="O1" s="22" t="s">
        <x:v>92</x:v>
      </x:c>
    </x:row>
    <x:row r="2">
      <x:c r="A2" s="9" t="s">
        <x:v>5</x:v>
      </x:c>
      <x:c r="B2" s="10">
        <x:v>69.33</x:v>
      </x:c>
      <x:c r="C2" s="10"/>
      <x:c r="D2" s="10">
        <x:v>9.99</x:v>
      </x:c>
      <x:c r="E2" s="10">
        <x:v>6.32</x:v>
      </x:c>
      <x:c r="F2" s="10">
        <x:v>0.87</x:v>
      </x:c>
      <x:c r="G2" s="10">
        <x:v>3.93</x:v>
      </x:c>
      <x:c r="H2" s="10">
        <x:v>1.74</x:v>
      </x:c>
      <x:c r="I2" s="10">
        <x:v>3.87</x:v>
      </x:c>
      <x:c r="J2" s="10"/>
      <x:c r="K2" s="10"/>
      <x:c r="L2" s="10">
        <x:v>1.17</x:v>
      </x:c>
      <x:c r="M2" s="10"/>
      <x:c r="N2" s="10"/>
      <x:c r="O2" s="10">
        <x:v>0.39</x:v>
      </x:c>
    </x:row>
    <x:row r="3">
      <x:c r="A3" s="9" t="s">
        <x:v>10</x:v>
      </x:c>
      <x:c r="B3" s="10">
        <x:v>36.28</x:v>
      </x:c>
      <x:c r="C3" s="10"/>
      <x:c r="D3" s="10">
        <x:v>1.05</x:v>
      </x:c>
      <x:c r="E3" s="10">
        <x:v>2.34</x:v>
      </x:c>
      <x:c r="F3" s="10">
        <x:v>1.18</x:v>
      </x:c>
      <x:c r="G3" s="10">
        <x:v>5.73</x:v>
      </x:c>
      <x:c r="H3" s="10">
        <x:v>1.86</x:v>
      </x:c>
      <x:c r="I3" s="10">
        <x:v>0.26</x:v>
      </x:c>
      <x:c r="J3" s="10">
        <x:v>47.43</x:v>
      </x:c>
      <x:c r="K3" s="10"/>
      <x:c r="L3" s="10">
        <x:v>3.57</x:v>
      </x:c>
      <x:c r="M3" s="10">
        <x:v>0.19</x:v>
      </x:c>
      <x:c r="N3" s="10"/>
      <x:c r="O3" s="10"/>
    </x:row>
    <x:row r="4" s="8" customFormat="1">
      <x:c r="A4" s="9" t="s">
        <x:v>93</x:v>
      </x:c>
      <x:c r="B4" s="10">
        <x:v>87.05</x:v>
      </x:c>
      <x:c r="C4" s="10"/>
      <x:c r="D4" s="10">
        <x:v>5.19</x:v>
      </x:c>
      <x:c r="E4" s="10">
        <x:v>2.0099999999999998</x:v>
      </x:c>
      <x:c r="F4" s="10"/>
      <x:c r="G4" s="10">
        <x:v>4.0599999999999996</x:v>
      </x:c>
      <x:c r="H4" s="10"/>
      <x:c r="I4" s="10">
        <x:v>0.78</x:v>
      </x:c>
      <x:c r="J4" s="10">
        <x:v>0.25</x:v>
      </x:c>
      <x:c r="K4" s="10"/>
      <x:c r="L4" s="10">
        <x:v>0.66</x:v>
      </x:c>
      <x:c r="M4" s="10"/>
      <x:c r="N4" s="10"/>
      <x:c r="O4" s="10"/>
    </x:row>
    <x:row r="5">
      <x:c r="A5" s="9" t="s">
        <x:v>94</x:v>
      </x:c>
      <x:c r="B5" s="10">
        <x:v>61.71</x:v>
      </x:c>
      <x:c r="C5" s="10"/>
      <x:c r="D5" s="10">
        <x:v>12.37</x:v>
      </x:c>
      <x:c r="E5" s="10">
        <x:v>5.87</x:v>
      </x:c>
      <x:c r="F5" s="10">
        <x:v>1.1100000000000001</x:v>
      </x:c>
      <x:c r="G5" s="10">
        <x:v>5.5</x:v>
      </x:c>
      <x:c r="H5" s="10">
        <x:v>2.16</x:v>
      </x:c>
      <x:c r="I5" s="10">
        <x:v>5.09</x:v>
      </x:c>
      <x:c r="J5" s="10">
        <x:v>1.41</x:v>
      </x:c>
      <x:c r="K5" s="10">
        <x:v>2.86</x:v>
      </x:c>
      <x:c r="L5" s="10">
        <x:v>0.7</x:v>
      </x:c>
      <x:c r="M5" s="10">
        <x:v>0.1</x:v>
      </x:c>
      <x:c r="N5" s="10"/>
      <x:c r="O5" s="10"/>
    </x:row>
    <x:row r="6">
      <x:c r="A6" s="9" t="s">
        <x:v>16</x:v>
      </x:c>
      <x:c r="B6" s="10">
        <x:v>65.88</x:v>
      </x:c>
      <x:c r="C6" s="10"/>
      <x:c r="D6" s="10">
        <x:v>9.67</x:v>
      </x:c>
      <x:c r="E6" s="10">
        <x:v>7.12</x:v>
      </x:c>
      <x:c r="F6" s="10">
        <x:v>1.56</x:v>
      </x:c>
      <x:c r="G6" s="10">
        <x:v>6.44</x:v>
      </x:c>
      <x:c r="H6" s="10">
        <x:v>2.06</x:v>
      </x:c>
      <x:c r="I6" s="10">
        <x:v>2.1800000000000002</x:v>
      </x:c>
      <x:c r="J6" s="10"/>
      <x:c r="K6" s="10"/>
      <x:c r="L6" s="10">
        <x:v>0.79</x:v>
      </x:c>
      <x:c r="M6" s="10"/>
      <x:c r="N6" s="10"/>
      <x:c r="O6" s="10">
        <x:v>0.36</x:v>
      </x:c>
    </x:row>
    <x:row r="7">
      <x:c r="A7" s="9" t="s">
        <x:v>17</x:v>
      </x:c>
      <x:c r="B7" s="10">
        <x:v>61.58</x:v>
      </x:c>
      <x:c r="C7" s="10"/>
      <x:c r="D7" s="10">
        <x:v>10.95</x:v>
      </x:c>
      <x:c r="E7" s="10">
        <x:v>7.35</x:v>
      </x:c>
      <x:c r="F7" s="10">
        <x:v>1.77</x:v>
      </x:c>
      <x:c r="G7" s="10">
        <x:v>7.5</x:v>
      </x:c>
      <x:c r="H7" s="10">
        <x:v>2.62</x:v>
      </x:c>
      <x:c r="I7" s="10">
        <x:v>3.27</x:v>
      </x:c>
      <x:c r="J7" s="10"/>
      <x:c r="K7" s="10"/>
      <x:c r="L7" s="10">
        <x:v>0.94</x:v>
      </x:c>
      <x:c r="M7" s="10">
        <x:v>0.06</x:v>
      </x:c>
      <x:c r="N7" s="10"/>
      <x:c r="O7" s="10">
        <x:v>0.47</x:v>
      </x:c>
    </x:row>
    <x:row r="8">
      <x:c r="A8" s="9" t="s">
        <x:v>95</x:v>
      </x:c>
      <x:c r="B8" s="10">
        <x:v>67.650000000000006</x:v>
      </x:c>
      <x:c r="C8" s="10"/>
      <x:c r="D8" s="10">
        <x:v>7.37</x:v>
      </x:c>
      <x:c r="E8" s="10"/>
      <x:c r="F8" s="10">
        <x:v>1.98</x:v>
      </x:c>
      <x:c r="G8" s="10">
        <x:v>11.15</x:v>
      </x:c>
      <x:c r="H8" s="10">
        <x:v>2.39</x:v>
      </x:c>
      <x:c r="I8" s="10">
        <x:v>2.5099999999999998</x:v>
      </x:c>
      <x:c r="J8" s="10">
        <x:v>0.2</x:v>
      </x:c>
      <x:c r="K8" s="10">
        <x:v>1.38</x:v>
      </x:c>
      <x:c r="L8" s="10">
        <x:v>4.18</x:v>
      </x:c>
      <x:c r="M8" s="10">
        <x:v>0.11</x:v>
      </x:c>
      <x:c r="N8" s="10"/>
      <x:c r="O8" s="10"/>
    </x:row>
    <x:row r="9" s="8" customFormat="1">
      <x:c r="A9" s="9" t="s">
        <x:v>96</x:v>
      </x:c>
      <x:c r="B9" s="10">
        <x:v>59.81</x:v>
      </x:c>
      <x:c r="C9" s="10"/>
      <x:c r="D9" s="10">
        <x:v>7.68</x:v>
      </x:c>
      <x:c r="E9" s="10">
        <x:v>5.41</x:v>
      </x:c>
      <x:c r="F9" s="10">
        <x:v>1.73</x:v>
      </x:c>
      <x:c r="G9" s="10">
        <x:v>10.050000000000001</x:v>
      </x:c>
      <x:c r="H9" s="10">
        <x:v>6.04</x:v>
      </x:c>
      <x:c r="I9" s="10">
        <x:v>2.1800000000000002</x:v>
      </x:c>
      <x:c r="J9" s="10">
        <x:v>0.35</x:v>
      </x:c>
      <x:c r="K9" s="10">
        <x:v>0.97</x:v>
      </x:c>
      <x:c r="L9" s="10">
        <x:v>4.5</x:v>
      </x:c>
      <x:c r="M9" s="10">
        <x:v>0.12</x:v>
      </x:c>
      <x:c r="N9" s="10"/>
      <x:c r="O9" s="10"/>
    </x:row>
    <x:row r="10" s="8" customFormat="1">
      <x:c r="A10" s="9" t="s">
        <x:v>19</x:v>
      </x:c>
      <x:c r="B10" s="10">
        <x:v>92.63</x:v>
      </x:c>
      <x:c r="C10" s="10"/>
      <x:c r="D10" s="10"/>
      <x:c r="E10" s="10">
        <x:v>1.07</x:v>
      </x:c>
      <x:c r="F10" s="10"/>
      <x:c r="G10" s="10">
        <x:v>1.98</x:v>
      </x:c>
      <x:c r="H10" s="10">
        <x:v>0.17</x:v>
      </x:c>
      <x:c r="I10" s="10">
        <x:v>3.24</x:v>
      </x:c>
      <x:c r="J10" s="10"/>
      <x:c r="K10" s="10"/>
      <x:c r="L10" s="10">
        <x:v>0.61</x:v>
      </x:c>
      <x:c r="M10" s="10"/>
      <x:c r="N10" s="10"/>
      <x:c r="O10" s="10"/>
    </x:row>
    <x:row r="11" s="8" customFormat="1">
      <x:c r="A11" s="9" t="s">
        <x:v>21</x:v>
      </x:c>
      <x:c r="B11" s="10">
        <x:v>20.14</x:v>
      </x:c>
      <x:c r="C11" s="10"/>
      <x:c r="D11" s="10"/>
      <x:c r="E11" s="10">
        <x:v>1.48</x:v>
      </x:c>
      <x:c r="F11" s="10"/>
      <x:c r="G11" s="10">
        <x:v>1.34</x:v>
      </x:c>
      <x:c r="H11" s="10"/>
      <x:c r="I11" s="10">
        <x:v>10.41</x:v>
      </x:c>
      <x:c r="J11" s="10">
        <x:v>28.68</x:v>
      </x:c>
      <x:c r="K11" s="10">
        <x:v>31.23</x:v>
      </x:c>
      <x:c r="L11" s="10">
        <x:v>3.59</x:v>
      </x:c>
      <x:c r="M11" s="10">
        <x:v>0.37</x:v>
      </x:c>
      <x:c r="N11" s="10"/>
      <x:c r="O11" s="10">
        <x:v>2.58</x:v>
      </x:c>
    </x:row>
    <x:row r="12">
      <x:c r="A12" s="9" t="s">
        <x:v>97</x:v>
      </x:c>
      <x:c r="B12" s="10">
        <x:v>4.6100000000000003</x:v>
      </x:c>
      <x:c r="C12" s="10"/>
      <x:c r="D12" s="10"/>
      <x:c r="E12" s="10">
        <x:v>3.19</x:v>
      </x:c>
      <x:c r="F12" s="10"/>
      <x:c r="G12" s="10">
        <x:v>1.1100000000000001</x:v>
      </x:c>
      <x:c r="H12" s="10"/>
      <x:c r="I12" s="10">
        <x:v>3.14</x:v>
      </x:c>
      <x:c r="J12" s="10">
        <x:v>32.450000000000003</x:v>
      </x:c>
      <x:c r="K12" s="10">
        <x:v>30.62</x:v>
      </x:c>
      <x:c r="L12" s="10">
        <x:v>7.56</x:v>
      </x:c>
      <x:c r="M12" s="10">
        <x:v>0.53</x:v>
      </x:c>
      <x:c r="N12" s="10"/>
      <x:c r="O12" s="10">
        <x:v>15.03</x:v>
      </x:c>
    </x:row>
    <x:row r="13">
      <x:c r="A13" s="9" t="s">
        <x:v>23</x:v>
      </x:c>
      <x:c r="B13" s="10">
        <x:v>95.02</x:v>
      </x:c>
      <x:c r="C13" s="10"/>
      <x:c r="D13" s="10">
        <x:v>0.59</x:v>
      </x:c>
      <x:c r="E13" s="10">
        <x:v>0.62</x:v>
      </x:c>
      <x:c r="F13" s="10"/>
      <x:c r="G13" s="10">
        <x:v>1.32</x:v>
      </x:c>
      <x:c r="H13" s="10">
        <x:v>0.32</x:v>
      </x:c>
      <x:c r="I13" s="10">
        <x:v>1.55</x:v>
      </x:c>
      <x:c r="J13" s="10"/>
      <x:c r="K13" s="10"/>
      <x:c r="L13" s="10">
        <x:v>0.35</x:v>
      </x:c>
      <x:c r="M13" s="10"/>
      <x:c r="N13" s="10"/>
      <x:c r="O13" s="10"/>
    </x:row>
    <x:row r="14">
      <x:c r="A14" s="9" t="s">
        <x:v>24</x:v>
      </x:c>
      <x:c r="B14" s="10">
        <x:v>96.77</x:v>
      </x:c>
      <x:c r="C14" s="10"/>
      <x:c r="D14" s="10">
        <x:v>0.92</x:v>
      </x:c>
      <x:c r="E14" s="10">
        <x:v>0.21</x:v>
      </x:c>
      <x:c r="F14" s="10"/>
      <x:c r="G14" s="10">
        <x:v>0.81</x:v>
      </x:c>
      <x:c r="H14" s="10">
        <x:v>0.26</x:v>
      </x:c>
      <x:c r="I14" s="10">
        <x:v>0.84</x:v>
      </x:c>
      <x:c r="J14" s="10"/>
      <x:c r="K14" s="10"/>
      <x:c r="L14" s="10"/>
      <x:c r="M14" s="10"/>
      <x:c r="N14" s="10"/>
      <x:c r="O14" s="10"/>
    </x:row>
    <x:row r="15" s="8" customFormat="1">
      <x:c r="A15" s="9" t="s">
        <x:v>25</x:v>
      </x:c>
      <x:c r="B15" s="10">
        <x:v>33.590000000000003</x:v>
      </x:c>
      <x:c r="C15" s="10"/>
      <x:c r="D15" s="10">
        <x:v>0.21</x:v>
      </x:c>
      <x:c r="E15" s="10">
        <x:v>3.51</x:v>
      </x:c>
      <x:c r="F15" s="10">
        <x:v>0.71</x:v>
      </x:c>
      <x:c r="G15" s="10">
        <x:v>2.69</x:v>
      </x:c>
      <x:c r="H15" s="10"/>
      <x:c r="I15" s="10">
        <x:v>4.93</x:v>
      </x:c>
      <x:c r="J15" s="10">
        <x:v>25.39</x:v>
      </x:c>
      <x:c r="K15" s="10">
        <x:v>14.61</x:v>
      </x:c>
      <x:c r="L15" s="10">
        <x:v>9.3800000000000008</x:v>
      </x:c>
      <x:c r="M15" s="10">
        <x:v>0.37</x:v>
      </x:c>
      <x:c r="N15" s="10"/>
      <x:c r="O15" s="10"/>
    </x:row>
    <x:row r="16">
      <x:c r="A16" s="9" t="s">
        <x:v>26</x:v>
      </x:c>
      <x:c r="B16" s="10">
        <x:v>94.29</x:v>
      </x:c>
      <x:c r="C16" s="10"/>
      <x:c r="D16" s="10">
        <x:v>1.01</x:v>
      </x:c>
      <x:c r="E16" s="10">
        <x:v>0.72</x:v>
      </x:c>
      <x:c r="F16" s="10"/>
      <x:c r="G16" s="10">
        <x:v>1.46</x:v>
      </x:c>
      <x:c r="H16" s="10">
        <x:v>0.28999999999999998</x:v>
      </x:c>
      <x:c r="I16" s="10">
        <x:v>1.65</x:v>
      </x:c>
      <x:c r="J16" s="10"/>
      <x:c r="K16" s="10"/>
      <x:c r="L16" s="10">
        <x:v>0.15</x:v>
      </x:c>
      <x:c r="M16" s="10"/>
      <x:c r="N16" s="10"/>
      <x:c r="O16" s="10"/>
    </x:row>
    <x:row r="17" s="8" customFormat="1">
      <x:c r="A17" s="9" t="s">
        <x:v>27</x:v>
      </x:c>
      <x:c r="B17" s="10">
        <x:v>59.01</x:v>
      </x:c>
      <x:c r="C17" s="10">
        <x:v>2.86</x:v>
      </x:c>
      <x:c r="D17" s="10">
        <x:v>12.53</x:v>
      </x:c>
      <x:c r="E17" s="10">
        <x:v>8.6999999999999993</x:v>
      </x:c>
      <x:c r="F17" s="10"/>
      <x:c r="G17" s="10">
        <x:v>6.16</x:v>
      </x:c>
      <x:c r="H17" s="10">
        <x:v>2.88</x:v>
      </x:c>
      <x:c r="I17" s="10">
        <x:v>4.7300000000000004</x:v>
      </x:c>
      <x:c r="J17" s="10"/>
      <x:c r="K17" s="10"/>
      <x:c r="L17" s="10">
        <x:v>1.27</x:v>
      </x:c>
      <x:c r="M17" s="10"/>
      <x:c r="N17" s="10"/>
      <x:c r="O17" s="12"/>
    </x:row>
    <x:row r="18" s="8" customFormat="1">
      <x:c r="A18" s="9" t="s">
        <x:v>28</x:v>
      </x:c>
      <x:c r="B18" s="10">
        <x:v>62.47</x:v>
      </x:c>
      <x:c r="C18" s="10">
        <x:v>3.38</x:v>
      </x:c>
      <x:c r="D18" s="10">
        <x:v>12.28</x:v>
      </x:c>
      <x:c r="E18" s="10">
        <x:v>8.23</x:v>
      </x:c>
      <x:c r="F18" s="10">
        <x:v>0.66</x:v>
      </x:c>
      <x:c r="G18" s="10">
        <x:v>9.23</x:v>
      </x:c>
      <x:c r="H18" s="10">
        <x:v>0.5</x:v>
      </x:c>
      <x:c r="I18" s="10">
        <x:v>0.47</x:v>
      </x:c>
      <x:c r="J18" s="10">
        <x:v>1.62</x:v>
      </x:c>
      <x:c r="K18" s="10"/>
      <x:c r="L18" s="10">
        <x:v>0.16</x:v>
      </x:c>
      <x:c r="M18" s="10"/>
      <x:c r="N18" s="10"/>
      <x:c r="O18" s="12"/>
    </x:row>
    <x:row r="19" s="8" customFormat="1">
      <x:c r="A19" s="9" t="s">
        <x:v>30</x:v>
      </x:c>
      <x:c r="B19" s="10">
        <x:v>61.87</x:v>
      </x:c>
      <x:c r="C19" s="10">
        <x:v>3.21</x:v>
      </x:c>
      <x:c r="D19" s="10">
        <x:v>7.44</x:v>
      </x:c>
      <x:c r="E19" s="10"/>
      <x:c r="F19" s="10">
        <x:v>1.02</x:v>
      </x:c>
      <x:c r="G19" s="10">
        <x:v>3.15</x:v>
      </x:c>
      <x:c r="H19" s="10">
        <x:v>1.04</x:v>
      </x:c>
      <x:c r="I19" s="10">
        <x:v>1.29</x:v>
      </x:c>
      <x:c r="J19" s="10">
        <x:v>0.19</x:v>
      </x:c>
      <x:c r="K19" s="10">
        <x:v>0</x:v>
      </x:c>
      <x:c r="L19" s="10">
        <x:v>0.26</x:v>
      </x:c>
      <x:c r="M19" s="10"/>
      <x:c r="N19" s="10"/>
      <x:c r="O19" s="12"/>
    </x:row>
    <x:row r="20" s="8" customFormat="1">
      <x:c r="A20" s="9" t="s">
        <x:v>31</x:v>
      </x:c>
      <x:c r="B20" s="10">
        <x:v>65.180000000000007</x:v>
      </x:c>
      <x:c r="C20" s="10">
        <x:v>2.1</x:v>
      </x:c>
      <x:c r="D20" s="10">
        <x:v>14.52</x:v>
      </x:c>
      <x:c r="E20" s="10">
        <x:v>8.27</x:v>
      </x:c>
      <x:c r="F20" s="10">
        <x:v>0.52</x:v>
      </x:c>
      <x:c r="G20" s="10">
        <x:v>6.18</x:v>
      </x:c>
      <x:c r="H20" s="10">
        <x:v>0.42</x:v>
      </x:c>
      <x:c r="I20" s="10">
        <x:v>1.07</x:v>
      </x:c>
      <x:c r="J20" s="10">
        <x:v>0.11</x:v>
      </x:c>
      <x:c r="K20" s="10">
        <x:v>0</x:v>
      </x:c>
      <x:c r="L20" s="10"/>
      <x:c r="M20" s="10">
        <x:v>0.04</x:v>
      </x:c>
      <x:c r="N20" s="10"/>
      <x:c r="O20" s="12"/>
    </x:row>
    <x:row r="21" s="8" customFormat="1">
      <x:c r="A21" s="9" t="s">
        <x:v>32</x:v>
      </x:c>
      <x:c r="B21" s="10">
        <x:v>60.71</x:v>
      </x:c>
      <x:c r="C21" s="10">
        <x:v>2.12</x:v>
      </x:c>
      <x:c r="D21" s="10">
        <x:v>5.71</x:v>
      </x:c>
      <x:c r="E21" s="10"/>
      <x:c r="F21" s="10">
        <x:v>0.85</x:v>
      </x:c>
      <x:c r="G21" s="10"/>
      <x:c r="H21" s="10">
        <x:v>1.04</x:v>
      </x:c>
      <x:c r="I21" s="10">
        <x:v>1.0900000000000001</x:v>
      </x:c>
      <x:c r="J21" s="10">
        <x:v>0.19</x:v>
      </x:c>
      <x:c r="K21" s="10">
        <x:v>0</x:v>
      </x:c>
      <x:c r="L21" s="10">
        <x:v>0.18</x:v>
      </x:c>
      <x:c r="M21" s="10"/>
      <x:c r="N21" s="10">
        <x:v>0</x:v>
      </x:c>
      <x:c r="O21" s="12"/>
    </x:row>
    <x:row r="22" s="8" customFormat="1">
      <x:c r="A22" s="9" t="s">
        <x:v>33</x:v>
      </x:c>
      <x:c r="B22" s="10">
        <x:v>79.459999999999994</x:v>
      </x:c>
      <x:c r="C22" s="10"/>
      <x:c r="D22" s="10">
        <x:v>9.42</x:v>
      </x:c>
      <x:c r="E22" s="10"/>
      <x:c r="F22" s="10">
        <x:v>1.53</x:v>
      </x:c>
      <x:c r="G22" s="10">
        <x:v>3.05</x:v>
      </x:c>
      <x:c r="H22" s="10"/>
      <x:c r="I22" s="10"/>
      <x:c r="J22" s="10"/>
      <x:c r="K22" s="10"/>
      <x:c r="L22" s="10">
        <x:v>1.36</x:v>
      </x:c>
      <x:c r="M22" s="10">
        <x:v>7.0000000000000007E-2</x:v>
      </x:c>
      <x:c r="N22" s="10">
        <x:v>2.36</x:v>
      </x:c>
      <x:c r="O22" s="12"/>
    </x:row>
    <x:row r="23" s="8" customFormat="1">
      <x:c r="A23" s="9" t="s">
        <x:v>35</x:v>
      </x:c>
      <x:c r="B23" s="10">
        <x:v>29.64</x:v>
      </x:c>
      <x:c r="C23" s="10"/>
      <x:c r="D23" s="10"/>
      <x:c r="E23" s="10">
        <x:v>2.93</x:v>
      </x:c>
      <x:c r="F23" s="10">
        <x:v>0.59</x:v>
      </x:c>
      <x:c r="G23" s="10">
        <x:v>3.57</x:v>
      </x:c>
      <x:c r="H23" s="10">
        <x:v>1.33</x:v>
      </x:c>
      <x:c r="I23" s="10">
        <x:v>3.51</x:v>
      </x:c>
      <x:c r="J23" s="10">
        <x:v>42.82</x:v>
      </x:c>
      <x:c r="K23" s="10">
        <x:v>5.35</x:v>
      </x:c>
      <x:c r="L23" s="10">
        <x:v>8.83</x:v>
      </x:c>
      <x:c r="M23" s="10">
        <x:v>0.19</x:v>
      </x:c>
      <x:c r="N23" s="10"/>
      <x:c r="O23" s="10"/>
    </x:row>
    <x:row r="24" s="8" customFormat="1">
      <x:c r="A24" s="9" t="s">
        <x:v>36</x:v>
      </x:c>
      <x:c r="B24" s="10">
        <x:v>37.36</x:v>
      </x:c>
      <x:c r="C24" s="10"/>
      <x:c r="D24" s="10">
        <x:v>0.71</x:v>
      </x:c>
      <x:c r="E24" s="10"/>
      <x:c r="F24" s="10"/>
      <x:c r="G24" s="10">
        <x:v>5.45</x:v>
      </x:c>
      <x:c r="H24" s="10">
        <x:v>1.51</x:v>
      </x:c>
      <x:c r="I24" s="10">
        <x:v>4.78</x:v>
      </x:c>
      <x:c r="J24" s="10">
        <x:v>9.3000000000000007</x:v>
      </x:c>
      <x:c r="K24" s="10">
        <x:v>23.55</x:v>
      </x:c>
      <x:c r="L24" s="10">
        <x:v>5.75</x:v>
      </x:c>
      <x:c r="M24" s="10"/>
      <x:c r="N24" s="10"/>
      <x:c r="O24" s="10"/>
    </x:row>
    <x:row r="25" s="8" customFormat="1">
      <x:c r="A25" s="9" t="s">
        <x:v>37</x:v>
      </x:c>
      <x:c r="B25" s="10">
        <x:v>76.680000000000007</x:v>
      </x:c>
      <x:c r="C25" s="10"/>
      <x:c r="D25" s="10"/>
      <x:c r="E25" s="10">
        <x:v>4.71</x:v>
      </x:c>
      <x:c r="F25" s="10">
        <x:v>1.22</x:v>
      </x:c>
      <x:c r="G25" s="10">
        <x:v>6.19</x:v>
      </x:c>
      <x:c r="H25" s="10">
        <x:v>2.37</x:v>
      </x:c>
      <x:c r="I25" s="10">
        <x:v>3.28</x:v>
      </x:c>
      <x:c r="J25" s="10">
        <x:v>1</x:v>
      </x:c>
      <x:c r="K25" s="10">
        <x:v>1.97</x:v>
      </x:c>
      <x:c r="L25" s="10">
        <x:v>1.1000000000000001</x:v>
      </x:c>
      <x:c r="M25" s="10"/>
      <x:c r="N25" s="10"/>
      <x:c r="O25" s="10"/>
    </x:row>
    <x:row r="26" s="8" customFormat="1">
      <x:c r="A26" s="9" t="s">
        <x:v>38</x:v>
      </x:c>
      <x:c r="B26" s="10">
        <x:v>92.35</x:v>
      </x:c>
      <x:c r="C26" s="10"/>
      <x:c r="D26" s="10">
        <x:v>0.74</x:v>
      </x:c>
      <x:c r="E26" s="10">
        <x:v>1.66</x:v>
      </x:c>
      <x:c r="F26" s="10">
        <x:v>0.64</x:v>
      </x:c>
      <x:c r="G26" s="10">
        <x:v>3.5</x:v>
      </x:c>
      <x:c r="H26" s="10">
        <x:v>0.35</x:v>
      </x:c>
      <x:c r="I26" s="10">
        <x:v>0.55000000000000004</x:v>
      </x:c>
      <x:c r="J26" s="10"/>
      <x:c r="K26" s="10"/>
      <x:c r="L26" s="10">
        <x:v>0.21</x:v>
      </x:c>
      <x:c r="M26" s="10"/>
      <x:c r="N26" s="10"/>
      <x:c r="O26" s="10"/>
    </x:row>
    <x:row r="27" s="8" customFormat="1">
      <x:c r="A27" s="9" t="s">
        <x:v>98</x:v>
      </x:c>
      <x:c r="B27" s="10">
        <x:v>53.79</x:v>
      </x:c>
      <x:c r="C27" s="10">
        <x:v>7.92</x:v>
      </x:c>
      <x:c r="D27" s="10"/>
      <x:c r="E27" s="10">
        <x:v>0.5</x:v>
      </x:c>
      <x:c r="F27" s="10">
        <x:v>0.71</x:v>
      </x:c>
      <x:c r="G27" s="10">
        <x:v>1.42</x:v>
      </x:c>
      <x:c r="H27" s="10"/>
      <x:c r="I27" s="10">
        <x:v>2.99</x:v>
      </x:c>
      <x:c r="J27" s="10">
        <x:v>16.98</x:v>
      </x:c>
      <x:c r="K27" s="10">
        <x:v>11.86</x:v>
      </x:c>
      <x:c r="L27" s="10"/>
      <x:c r="M27" s="10">
        <x:v>0.33</x:v>
      </x:c>
      <x:c r="N27" s="10"/>
      <x:c r="O27" s="12"/>
    </x:row>
    <x:row r="28" s="8" customFormat="1">
      <x:c r="A28" s="9" t="s">
        <x:v>40</x:v>
      </x:c>
      <x:c r="B28" s="10">
        <x:v>31.94</x:v>
      </x:c>
      <x:c r="C28" s="10"/>
      <x:c r="D28" s="10"/>
      <x:c r="E28" s="10">
        <x:v>0.47</x:v>
      </x:c>
      <x:c r="F28" s="10"/>
      <x:c r="G28" s="10">
        <x:v>1.59</x:v>
      </x:c>
      <x:c r="H28" s="10"/>
      <x:c r="I28" s="10">
        <x:v>8.4600000000000009</x:v>
      </x:c>
      <x:c r="J28" s="10">
        <x:v>29.14</x:v>
      </x:c>
      <x:c r="K28" s="10">
        <x:v>26.23</x:v>
      </x:c>
      <x:c r="L28" s="10">
        <x:v>0.14000000000000001</x:v>
      </x:c>
      <x:c r="M28" s="10">
        <x:v>0.91</x:v>
      </x:c>
      <x:c r="N28" s="10"/>
      <x:c r="O28" s="10"/>
    </x:row>
    <x:row r="29" s="8" customFormat="1">
      <x:c r="A29" s="9" t="s">
        <x:v>99</x:v>
      </x:c>
      <x:c r="B29" s="10">
        <x:v>50.61</x:v>
      </x:c>
      <x:c r="C29" s="10">
        <x:v>2.31</x:v>
      </x:c>
      <x:c r="D29" s="10"/>
      <x:c r="E29" s="10">
        <x:v>0.63</x:v>
      </x:c>
      <x:c r="F29" s="10"/>
      <x:c r="G29" s="10">
        <x:v>1.9</x:v>
      </x:c>
      <x:c r="H29" s="10">
        <x:v>1.55</x:v>
      </x:c>
      <x:c r="I29" s="10">
        <x:v>1.1200000000000001</x:v>
      </x:c>
      <x:c r="J29" s="10">
        <x:v>31.9</x:v>
      </x:c>
      <x:c r="K29" s="10">
        <x:v>6.65</x:v>
      </x:c>
      <x:c r="L29" s="10">
        <x:v>0.19</x:v>
      </x:c>
      <x:c r="M29" s="10">
        <x:v>0.2</x:v>
      </x:c>
      <x:c r="N29" s="10"/>
      <x:c r="O29" s="12"/>
    </x:row>
    <x:row r="30" s="8" customFormat="1">
      <x:c r="A30" s="9" t="s">
        <x:v>42</x:v>
      </x:c>
      <x:c r="B30" s="10">
        <x:v>19.79</x:v>
      </x:c>
      <x:c r="C30" s="10"/>
      <x:c r="D30" s="10"/>
      <x:c r="E30" s="10">
        <x:v>1.44</x:v>
      </x:c>
      <x:c r="F30" s="10"/>
      <x:c r="G30" s="10">
        <x:v>0.7</x:v>
      </x:c>
      <x:c r="H30" s="10"/>
      <x:c r="I30" s="10">
        <x:v>10.57</x:v>
      </x:c>
      <x:c r="J30" s="10">
        <x:v>29.53</x:v>
      </x:c>
      <x:c r="K30" s="10">
        <x:v>32.25</x:v>
      </x:c>
      <x:c r="L30" s="10">
        <x:v>3.13</x:v>
      </x:c>
      <x:c r="M30" s="10">
        <x:v>0.45</x:v>
      </x:c>
      <x:c r="N30" s="10"/>
      <x:c r="O30" s="10">
        <x:v>1.96</x:v>
      </x:c>
    </x:row>
    <x:row r="31" s="8" customFormat="1">
      <x:c r="A31" s="9" t="s">
        <x:v>100</x:v>
      </x:c>
      <x:c r="B31" s="10">
        <x:v>3.72</x:v>
      </x:c>
      <x:c r="C31" s="10"/>
      <x:c r="D31" s="10">
        <x:v>0.4</x:v>
      </x:c>
      <x:c r="E31" s="10">
        <x:v>3.01</x:v>
      </x:c>
      <x:c r="F31" s="10"/>
      <x:c r="G31" s="10">
        <x:v>1.18</x:v>
      </x:c>
      <x:c r="H31" s="10"/>
      <x:c r="I31" s="10">
        <x:v>3.6</x:v>
      </x:c>
      <x:c r="J31" s="10">
        <x:v>29.92</x:v>
      </x:c>
      <x:c r="K31" s="10">
        <x:v>35.450000000000003</x:v>
      </x:c>
      <x:c r="L31" s="10">
        <x:v>6.04</x:v>
      </x:c>
      <x:c r="M31" s="10">
        <x:v>0.62</x:v>
      </x:c>
      <x:c r="N31" s="10"/>
      <x:c r="O31" s="10">
        <x:v>15.95</x:v>
      </x:c>
    </x:row>
    <x:row r="32" s="8" customFormat="1">
      <x:c r="A32" s="9" t="s">
        <x:v>43</x:v>
      </x:c>
      <x:c r="B32" s="10">
        <x:v>92.72</x:v>
      </x:c>
      <x:c r="C32" s="10"/>
      <x:c r="D32" s="10"/>
      <x:c r="E32" s="10">
        <x:v>0.94</x:v>
      </x:c>
      <x:c r="F32" s="10">
        <x:v>0.54</x:v>
      </x:c>
      <x:c r="G32" s="10">
        <x:v>2.5099999999999998</x:v>
      </x:c>
      <x:c r="H32" s="10">
        <x:v>0.2</x:v>
      </x:c>
      <x:c r="I32" s="10">
        <x:v>1.54</x:v>
      </x:c>
      <x:c r="J32" s="10"/>
      <x:c r="K32" s="10"/>
      <x:c r="L32" s="10">
        <x:v>0.36</x:v>
      </x:c>
      <x:c r="M32" s="10"/>
      <x:c r="N32" s="10"/>
      <x:c r="O32" s="10"/>
    </x:row>
    <x:row r="33" s="8" customFormat="1">
      <x:c r="A33" s="9" t="s">
        <x:v>101</x:v>
      </x:c>
      <x:c r="B33" s="10">
        <x:v>68.08</x:v>
      </x:c>
      <x:c r="C33" s="10"/>
      <x:c r="D33" s="10">
        <x:v>0.26</x:v>
      </x:c>
      <x:c r="E33" s="10">
        <x:v>1.34</x:v>
      </x:c>
      <x:c r="F33" s="10">
        <x:v>1</x:v>
      </x:c>
      <x:c r="G33" s="10">
        <x:v>4.7</x:v>
      </x:c>
      <x:c r="H33" s="10">
        <x:v>0.41</x:v>
      </x:c>
      <x:c r="I33" s="10">
        <x:v>0.33</x:v>
      </x:c>
      <x:c r="J33" s="10">
        <x:v>17.14</x:v>
      </x:c>
      <x:c r="K33" s="10">
        <x:v>4.04</x:v>
      </x:c>
      <x:c r="L33" s="10">
        <x:v>1.04</x:v>
      </x:c>
      <x:c r="M33" s="10">
        <x:v>0.12</x:v>
      </x:c>
      <x:c r="N33" s="10">
        <x:v>0.23</x:v>
      </x:c>
      <x:c r="O33" s="12"/>
    </x:row>
    <x:row r="34" s="8" customFormat="1">
      <x:c r="A34" s="9" t="s">
        <x:v>102</x:v>
      </x:c>
      <x:c r="B34" s="10">
        <x:v>63.3</x:v>
      </x:c>
      <x:c r="C34" s="10">
        <x:v>0.92</x:v>
      </x:c>
      <x:c r="D34" s="10">
        <x:v>0.3</x:v>
      </x:c>
      <x:c r="E34" s="10">
        <x:v>2.98</x:v>
      </x:c>
      <x:c r="F34" s="10">
        <x:v>1.49</x:v>
      </x:c>
      <x:c r="G34" s="10">
        <x:v>14.34</x:v>
      </x:c>
      <x:c r="H34" s="10">
        <x:v>0.81</x:v>
      </x:c>
      <x:c r="I34" s="10">
        <x:v>0.74</x:v>
      </x:c>
      <x:c r="J34" s="10">
        <x:v>12.31</x:v>
      </x:c>
      <x:c r="K34" s="10">
        <x:v>2.0299999999999998</x:v>
      </x:c>
      <x:c r="L34" s="10">
        <x:v>0.41</x:v>
      </x:c>
      <x:c r="M34" s="10">
        <x:v>0.25</x:v>
      </x:c>
      <x:c r="N34" s="10"/>
      <x:c r="O34" s="12"/>
    </x:row>
    <x:row r="35" s="8" customFormat="1">
      <x:c r="A35" s="9" t="s">
        <x:v>103</x:v>
      </x:c>
      <x:c r="B35" s="10">
        <x:v>34.340000000000003</x:v>
      </x:c>
      <x:c r="C35" s="10"/>
      <x:c r="D35" s="10">
        <x:v>1.41</x:v>
      </x:c>
      <x:c r="E35" s="10">
        <x:v>4.49</x:v>
      </x:c>
      <x:c r="F35" s="10">
        <x:v>0.98</x:v>
      </x:c>
      <x:c r="G35" s="10">
        <x:v>4.3499999999999996</x:v>
      </x:c>
      <x:c r="H35" s="10">
        <x:v>2.12</x:v>
      </x:c>
      <x:c r="I35" s="10"/>
      <x:c r="J35" s="10">
        <x:v>39.22</x:v>
      </x:c>
      <x:c r="K35" s="10">
        <x:v>10.29</x:v>
      </x:c>
      <x:c r="L35" s="10"/>
      <x:c r="M35" s="10">
        <x:v>0.35</x:v>
      </x:c>
      <x:c r="N35" s="10">
        <x:v>0.4</x:v>
      </x:c>
      <x:c r="O35" s="12"/>
    </x:row>
    <x:row r="36" s="8" customFormat="1">
      <x:c r="A36" s="9" t="s">
        <x:v>104</x:v>
      </x:c>
      <x:c r="B36" s="10">
        <x:v>36.93</x:v>
      </x:c>
      <x:c r="C36" s="10"/>
      <x:c r="D36" s="10"/>
      <x:c r="E36" s="10">
        <x:v>4.24</x:v>
      </x:c>
      <x:c r="F36" s="10">
        <x:v>0.51</x:v>
      </x:c>
      <x:c r="G36" s="10">
        <x:v>3.86</x:v>
      </x:c>
      <x:c r="H36" s="10">
        <x:v>2.74</x:v>
      </x:c>
      <x:c r="I36" s="10"/>
      <x:c r="J36" s="10">
        <x:v>37.74</x:v>
      </x:c>
      <x:c r="K36" s="10">
        <x:v>10.35</x:v>
      </x:c>
      <x:c r="L36" s="10">
        <x:v>1.41</x:v>
      </x:c>
      <x:c r="M36" s="10">
        <x:v>0.48</x:v>
      </x:c>
      <x:c r="N36" s="10">
        <x:v>0.44</x:v>
      </x:c>
      <x:c r="O36" s="12"/>
    </x:row>
    <x:row r="37" s="8" customFormat="1">
      <x:c r="A37" s="9" t="s">
        <x:v>47</x:v>
      </x:c>
      <x:c r="B37" s="10">
        <x:v>65.91</x:v>
      </x:c>
      <x:c r="C37" s="10"/>
      <x:c r="D37" s="10"/>
      <x:c r="E37" s="10">
        <x:v>1.6</x:v>
      </x:c>
      <x:c r="F37" s="10">
        <x:v>0.89</x:v>
      </x:c>
      <x:c r="G37" s="10">
        <x:v>3.11</x:v>
      </x:c>
      <x:c r="H37" s="10">
        <x:v>4.59</x:v>
      </x:c>
      <x:c r="I37" s="10">
        <x:v>0.44</x:v>
      </x:c>
      <x:c r="J37" s="10">
        <x:v>16.55</x:v>
      </x:c>
      <x:c r="K37" s="10">
        <x:v>3.42</x:v>
      </x:c>
      <x:c r="L37" s="10">
        <x:v>1.62</x:v>
      </x:c>
      <x:c r="M37" s="10">
        <x:v>0.3</x:v>
      </x:c>
      <x:c r="N37" s="10"/>
      <x:c r="O37" s="10"/>
    </x:row>
    <x:row r="38" s="8" customFormat="1">
      <x:c r="A38" s="9" t="s">
        <x:v>48</x:v>
      </x:c>
      <x:c r="B38" s="10">
        <x:v>69.709999999999994</x:v>
      </x:c>
      <x:c r="C38" s="10"/>
      <x:c r="D38" s="10">
        <x:v>0.21</x:v>
      </x:c>
      <x:c r="E38" s="10">
        <x:v>0.46</x:v>
      </x:c>
      <x:c r="F38" s="10"/>
      <x:c r="G38" s="10">
        <x:v>2.36</x:v>
      </x:c>
      <x:c r="H38" s="10">
        <x:v>1</x:v>
      </x:c>
      <x:c r="I38" s="10">
        <x:v>0.11</x:v>
      </x:c>
      <x:c r="J38" s="10">
        <x:v>19.760000000000002</x:v>
      </x:c>
      <x:c r="K38" s="10">
        <x:v>4.88</x:v>
      </x:c>
      <x:c r="L38" s="10">
        <x:v>0.17</x:v>
      </x:c>
      <x:c r="M38" s="10"/>
      <x:c r="N38" s="10"/>
      <x:c r="O38" s="12"/>
    </x:row>
    <x:row r="39" s="8" customFormat="1">
      <x:c r="A39" s="9" t="s">
        <x:v>50</x:v>
      </x:c>
      <x:c r="B39" s="10">
        <x:v>75.510000000000005</x:v>
      </x:c>
      <x:c r="C39" s="10"/>
      <x:c r="D39" s="10">
        <x:v>0.15</x:v>
      </x:c>
      <x:c r="E39" s="10">
        <x:v>0.64</x:v>
      </x:c>
      <x:c r="F39" s="10">
        <x:v>1</x:v>
      </x:c>
      <x:c r="G39" s="10">
        <x:v>2.35</x:v>
      </x:c>
      <x:c r="H39" s="10"/>
      <x:c r="I39" s="10">
        <x:v>0.47</x:v>
      </x:c>
      <x:c r="J39" s="10">
        <x:v>16.16</x:v>
      </x:c>
      <x:c r="K39" s="10">
        <x:v>3.55</x:v>
      </x:c>
      <x:c r="L39" s="10">
        <x:v>0.13</x:v>
      </x:c>
      <x:c r="M39" s="10"/>
      <x:c r="N39" s="10"/>
      <x:c r="O39" s="12"/>
    </x:row>
    <x:row r="40" s="8" customFormat="1">
      <x:c r="A40" s="9" t="s">
        <x:v>51</x:v>
      </x:c>
      <x:c r="B40" s="10">
        <x:v>35.78</x:v>
      </x:c>
      <x:c r="C40" s="10"/>
      <x:c r="D40" s="10">
        <x:v>0.25</x:v>
      </x:c>
      <x:c r="E40" s="10">
        <x:v>0.78</x:v>
      </x:c>
      <x:c r="F40" s="10"/>
      <x:c r="G40" s="10">
        <x:v>1.62</x:v>
      </x:c>
      <x:c r="H40" s="10">
        <x:v>0.47</x:v>
      </x:c>
      <x:c r="I40" s="10">
        <x:v>1.51</x:v>
      </x:c>
      <x:c r="J40" s="10">
        <x:v>46.55</x:v>
      </x:c>
      <x:c r="K40" s="10">
        <x:v>10</x:v>
      </x:c>
      <x:c r="L40" s="10">
        <x:v>0.34</x:v>
      </x:c>
      <x:c r="M40" s="10">
        <x:v>0.22</x:v>
      </x:c>
      <x:c r="N40" s="10"/>
      <x:c r="O40" s="12"/>
    </x:row>
    <x:row r="41" s="8" customFormat="1">
      <x:c r="A41" s="9" t="s">
        <x:v>52</x:v>
      </x:c>
      <x:c r="B41" s="10">
        <x:v>65.91</x:v>
      </x:c>
      <x:c r="C41" s="10"/>
      <x:c r="D41" s="10"/>
      <x:c r="E41" s="10">
        <x:v>0.38</x:v>
      </x:c>
      <x:c r="F41" s="10"/>
      <x:c r="G41" s="10">
        <x:v>1.44</x:v>
      </x:c>
      <x:c r="H41" s="10">
        <x:v>0.17</x:v>
      </x:c>
      <x:c r="I41" s="10">
        <x:v>0.16</x:v>
      </x:c>
      <x:c r="J41" s="10">
        <x:v>22.05</x:v>
      </x:c>
      <x:c r="K41" s="10">
        <x:v>5.68</x:v>
      </x:c>
      <x:c r="L41" s="10">
        <x:v>0.42</x:v>
      </x:c>
      <x:c r="M41" s="10"/>
      <x:c r="N41" s="10"/>
      <x:c r="O41" s="12"/>
    </x:row>
    <x:row r="42">
      <x:c r="A42" s="9" t="s">
        <x:v>53</x:v>
      </x:c>
      <x:c r="B42" s="10">
        <x:v>39.57</x:v>
      </x:c>
      <x:c r="C42" s="10">
        <x:v>2.2200000000000002</x:v>
      </x:c>
      <x:c r="D42" s="10">
        <x:v>0.14000000000000001</x:v>
      </x:c>
      <x:c r="E42" s="10">
        <x:v>0.37</x:v>
      </x:c>
      <x:c r="F42" s="10"/>
      <x:c r="G42" s="10">
        <x:v>1.6</x:v>
      </x:c>
      <x:c r="H42" s="10">
        <x:v>0.32</x:v>
      </x:c>
      <x:c r="I42" s="10">
        <x:v>0.68</x:v>
      </x:c>
      <x:c r="J42" s="10">
        <x:v>41.61</x:v>
      </x:c>
      <x:c r="K42" s="10">
        <x:v>10.83</x:v>
      </x:c>
      <x:c r="L42" s="10">
        <x:v>7.0000000000000007E-2</x:v>
      </x:c>
      <x:c r="M42" s="10">
        <x:v>0.22</x:v>
      </x:c>
      <x:c r="N42" s="10"/>
      <x:c r="O42" s="12"/>
    </x:row>
    <x:row r="43">
      <x:c r="A43" s="9" t="s">
        <x:v>54</x:v>
      </x:c>
      <x:c r="B43" s="10">
        <x:v>60.12</x:v>
      </x:c>
      <x:c r="C43" s="10"/>
      <x:c r="D43" s="10">
        <x:v>0.23</x:v>
      </x:c>
      <x:c r="E43" s="10">
        <x:v>0.89</x:v>
      </x:c>
      <x:c r="F43" s="10"/>
      <x:c r="G43" s="10">
        <x:v>2.72</x:v>
      </x:c>
      <x:c r="H43" s="10"/>
      <x:c r="I43" s="10">
        <x:v>3.01</x:v>
      </x:c>
      <x:c r="J43" s="10">
        <x:v>17.239999999999998</x:v>
      </x:c>
      <x:c r="K43" s="10">
        <x:v>10.34</x:v>
      </x:c>
      <x:c r="L43" s="10">
        <x:v>1.46</x:v>
      </x:c>
      <x:c r="M43" s="10">
        <x:v>0.31</x:v>
      </x:c>
      <x:c r="N43" s="10"/>
      <x:c r="O43" s="10">
        <x:v>3.66</x:v>
      </x:c>
    </x:row>
    <x:row r="44">
      <x:c r="A44" s="9" t="s">
        <x:v>55</x:v>
      </x:c>
      <x:c r="B44" s="10">
        <x:v>32.93</x:v>
      </x:c>
      <x:c r="C44" s="10">
        <x:v>1.38</x:v>
      </x:c>
      <x:c r="D44" s="10"/>
      <x:c r="E44" s="10">
        <x:v>0.68</x:v>
      </x:c>
      <x:c r="F44" s="10"/>
      <x:c r="G44" s="10">
        <x:v>2.57</x:v>
      </x:c>
      <x:c r="H44" s="10">
        <x:v>0.28999999999999998</x:v>
      </x:c>
      <x:c r="I44" s="10">
        <x:v>0.73</x:v>
      </x:c>
      <x:c r="J44" s="10">
        <x:v>49.31</x:v>
      </x:c>
      <x:c r="K44" s="10">
        <x:v>9.7899999999999991</x:v>
      </x:c>
      <x:c r="L44" s="10">
        <x:v>0.48</x:v>
      </x:c>
      <x:c r="M44" s="10">
        <x:v>0.41</x:v>
      </x:c>
      <x:c r="N44" s="10"/>
      <x:c r="O44" s="12"/>
    </x:row>
    <x:row r="45">
      <x:c r="A45" s="9" t="s">
        <x:v>56</x:v>
      </x:c>
      <x:c r="B45" s="10">
        <x:v>26.25</x:v>
      </x:c>
      <x:c r="C45" s="10"/>
      <x:c r="D45" s="10"/>
      <x:c r="E45" s="10">
        <x:v>1.1100000000000001</x:v>
      </x:c>
      <x:c r="F45" s="10"/>
      <x:c r="G45" s="10">
        <x:v>0.5</x:v>
      </x:c>
      <x:c r="H45" s="10"/>
      <x:c r="I45" s="10">
        <x:v>0.88</x:v>
      </x:c>
      <x:c r="J45" s="10">
        <x:v>61.03</x:v>
      </x:c>
      <x:c r="K45" s="10">
        <x:v>7.22</x:v>
      </x:c>
      <x:c r="L45" s="10">
        <x:v>1.1599999999999999</x:v>
      </x:c>
      <x:c r="M45" s="10">
        <x:v>0.61</x:v>
      </x:c>
      <x:c r="N45" s="10"/>
      <x:c r="O45" s="12"/>
    </x:row>
    <x:row r="46">
      <x:c r="A46" s="9" t="s">
        <x:v>57</x:v>
      </x:c>
      <x:c r="B46" s="10">
        <x:v>16.71</x:v>
      </x:c>
      <x:c r="C46" s="10"/>
      <x:c r="D46" s="10"/>
      <x:c r="E46" s="10">
        <x:v>1.87</x:v>
      </x:c>
      <x:c r="F46" s="10"/>
      <x:c r="G46" s="10">
        <x:v>0.45</x:v>
      </x:c>
      <x:c r="H46" s="10">
        <x:v>0.19</x:v>
      </x:c>
      <x:c r="I46" s="10"/>
      <x:c r="J46" s="10">
        <x:v>70.209999999999994</x:v>
      </x:c>
      <x:c r="K46" s="10">
        <x:v>6.69</x:v>
      </x:c>
      <x:c r="L46" s="10">
        <x:v>1.77</x:v>
      </x:c>
      <x:c r="M46" s="10">
        <x:v>0.68</x:v>
      </x:c>
      <x:c r="N46" s="10"/>
      <x:c r="O46" s="12"/>
    </x:row>
    <x:row r="47">
      <x:c r="A47" s="9" t="s">
        <x:v>58</x:v>
      </x:c>
      <x:c r="B47" s="10">
        <x:v>18.46</x:v>
      </x:c>
      <x:c r="C47" s="10"/>
      <x:c r="D47" s="10">
        <x:v>0.44</x:v>
      </x:c>
      <x:c r="E47" s="10">
        <x:v>4.96</x:v>
      </x:c>
      <x:c r="F47" s="10">
        <x:v>2.73</x:v>
      </x:c>
      <x:c r="G47" s="10">
        <x:v>3.33</x:v>
      </x:c>
      <x:c r="H47" s="10">
        <x:v>1.79</x:v>
      </x:c>
      <x:c r="I47" s="10">
        <x:v>0.19</x:v>
      </x:c>
      <x:c r="J47" s="10">
        <x:v>44.12</x:v>
      </x:c>
      <x:c r="K47" s="10">
        <x:v>9.76</x:v>
      </x:c>
      <x:c r="L47" s="10">
        <x:v>7.46</x:v>
      </x:c>
      <x:c r="M47" s="10">
        <x:v>0.47</x:v>
      </x:c>
      <x:c r="N47" s="10"/>
      <x:c r="O47" s="12"/>
    </x:row>
    <x:row r="48">
      <x:c r="A48" s="9" t="s">
        <x:v>105</x:v>
      </x:c>
      <x:c r="B48" s="10">
        <x:v>51.26</x:v>
      </x:c>
      <x:c r="C48" s="10">
        <x:v>5.74</x:v>
      </x:c>
      <x:c r="D48" s="10">
        <x:v>0.15</x:v>
      </x:c>
      <x:c r="E48" s="10">
        <x:v>0.79</x:v>
      </x:c>
      <x:c r="F48" s="10">
        <x:v>1.0900000000000001</x:v>
      </x:c>
      <x:c r="G48" s="10">
        <x:v>3.53</x:v>
      </x:c>
      <x:c r="H48" s="10"/>
      <x:c r="I48" s="10">
        <x:v>2.67</x:v>
      </x:c>
      <x:c r="J48" s="10">
        <x:v>21.88</x:v>
      </x:c>
      <x:c r="K48" s="10">
        <x:v>10.47</x:v>
      </x:c>
      <x:c r="L48" s="10">
        <x:v>0.08</x:v>
      </x:c>
      <x:c r="M48" s="10">
        <x:v>0.35</x:v>
      </x:c>
      <x:c r="N48" s="10"/>
      <x:c r="O48" s="12"/>
    </x:row>
    <x:row r="49">
      <x:c r="A49" s="9" t="s">
        <x:v>106</x:v>
      </x:c>
      <x:c r="B49" s="10">
        <x:v>51.33</x:v>
      </x:c>
      <x:c r="C49" s="10">
        <x:v>5.68</x:v>
      </x:c>
      <x:c r="D49" s="10">
        <x:v>0.35</x:v>
      </x:c>
      <x:c r="E49" s="10"/>
      <x:c r="F49" s="10">
        <x:v>1.1599999999999999</x:v>
      </x:c>
      <x:c r="G49" s="10">
        <x:v>5.66</x:v>
      </x:c>
      <x:c r="H49" s="10"/>
      <x:c r="I49" s="10">
        <x:v>2.72</x:v>
      </x:c>
      <x:c r="J49" s="10">
        <x:v>20.12</x:v>
      </x:c>
      <x:c r="K49" s="10">
        <x:v>10.88</x:v>
      </x:c>
      <x:c r="L49" s="10"/>
      <x:c r="M49" s="10"/>
      <x:c r="N49" s="10"/>
      <x:c r="O49" s="12"/>
    </x:row>
    <x:row r="50">
      <x:c r="A50" s="9" t="s">
        <x:v>107</x:v>
      </x:c>
      <x:c r="B50" s="10">
        <x:v>12.41</x:v>
      </x:c>
      <x:c r="C50" s="10"/>
      <x:c r="D50" s="10"/>
      <x:c r="E50" s="10">
        <x:v>5.24</x:v>
      </x:c>
      <x:c r="F50" s="10">
        <x:v>0.89</x:v>
      </x:c>
      <x:c r="G50" s="10">
        <x:v>2.25</x:v>
      </x:c>
      <x:c r="H50" s="10">
        <x:v>0.76</x:v>
      </x:c>
      <x:c r="I50" s="10">
        <x:v>5.35</x:v>
      </x:c>
      <x:c r="J50" s="10">
        <x:v>59.85</x:v>
      </x:c>
      <x:c r="K50" s="10">
        <x:v>7.29</x:v>
      </x:c>
      <x:c r="L50" s="10"/>
      <x:c r="M50" s="10">
        <x:v>0.64</x:v>
      </x:c>
      <x:c r="N50" s="10"/>
      <x:c r="O50" s="12"/>
    </x:row>
    <x:row r="51" ht="13.5" customHeight="1">
      <x:c r="A51" s="9" t="s">
        <x:v>108</x:v>
      </x:c>
      <x:c r="B51" s="10">
        <x:v>21.7</x:v>
      </x:c>
      <x:c r="C51" s="10"/>
      <x:c r="D51" s="10"/>
      <x:c r="E51" s="10">
        <x:v>6.4</x:v>
      </x:c>
      <x:c r="F51" s="10">
        <x:v>0.95</x:v>
      </x:c>
      <x:c r="G51" s="10">
        <x:v>3.41</x:v>
      </x:c>
      <x:c r="H51" s="10">
        <x:v>1.39</x:v>
      </x:c>
      <x:c r="I51" s="10">
        <x:v>1.51</x:v>
      </x:c>
      <x:c r="J51" s="10">
        <x:v>44.75</x:v>
      </x:c>
      <x:c r="K51" s="10">
        <x:v>3.26</x:v>
      </x:c>
      <x:c r="L51" s="10">
        <x:v>12.83</x:v>
      </x:c>
      <x:c r="M51" s="10">
        <x:v>0.47</x:v>
      </x:c>
      <x:c r="N51" s="10"/>
      <x:c r="O51" s="12"/>
    </x:row>
    <x:row r="52">
      <x:c r="A52" s="9" t="s">
        <x:v>109</x:v>
      </x:c>
      <x:c r="B52" s="10">
        <x:v>60.74</x:v>
      </x:c>
      <x:c r="C52" s="10">
        <x:v>3.06</x:v>
      </x:c>
      <x:c r="D52" s="10">
        <x:v>0.2</x:v>
      </x:c>
      <x:c r="E52" s="10">
        <x:v>2.14</x:v>
      </x:c>
      <x:c r="F52" s="10"/>
      <x:c r="G52" s="10">
        <x:v>12.69</x:v>
      </x:c>
      <x:c r="H52" s="10">
        <x:v>0.77</x:v>
      </x:c>
      <x:c r="I52" s="10">
        <x:v>0.43</x:v>
      </x:c>
      <x:c r="J52" s="10">
        <x:v>13.61</x:v>
      </x:c>
      <x:c r="K52" s="10">
        <x:v>5.22</x:v>
      </x:c>
      <x:c r="L52" s="10"/>
      <x:c r="M52" s="10">
        <x:v>0.26</x:v>
      </x:c>
      <x:c r="N52" s="10"/>
      <x:c r="O52" s="12"/>
    </x:row>
    <x:row r="53">
      <x:c r="A53" s="9" t="s">
        <x:v>62</x:v>
      </x:c>
      <x:c r="B53" s="10">
        <x:v>61.28</x:v>
      </x:c>
      <x:c r="C53" s="10">
        <x:v>2.66</x:v>
      </x:c>
      <x:c r="D53" s="10">
        <x:v>0.11</x:v>
      </x:c>
      <x:c r="E53" s="10">
        <x:v>0.84</x:v>
      </x:c>
      <x:c r="F53" s="10">
        <x:v>0.74</x:v>
      </x:c>
      <x:c r="G53" s="10">
        <x:v>5</x:v>
      </x:c>
      <x:c r="H53" s="10"/>
      <x:c r="I53" s="10">
        <x:v>0.53</x:v>
      </x:c>
      <x:c r="J53" s="10">
        <x:v>15.99</x:v>
      </x:c>
      <x:c r="K53" s="10">
        <x:v>10.96</x:v>
      </x:c>
      <x:c r="L53" s="10"/>
      <x:c r="M53" s="10">
        <x:v>0.23</x:v>
      </x:c>
      <x:c r="N53" s="10"/>
      <x:c r="O53" s="12"/>
    </x:row>
    <x:row r="54">
      <x:c r="A54" s="9" t="s">
        <x:v>63</x:v>
      </x:c>
      <x:c r="B54" s="10">
        <x:v>55.21</x:v>
      </x:c>
      <x:c r="C54" s="10"/>
      <x:c r="D54" s="10">
        <x:v>0.25</x:v>
      </x:c>
      <x:c r="E54" s="10"/>
      <x:c r="F54" s="10">
        <x:v>1.67</x:v>
      </x:c>
      <x:c r="G54" s="10">
        <x:v>4.79</x:v>
      </x:c>
      <x:c r="H54" s="10"/>
      <x:c r="I54" s="10">
        <x:v>0.77</x:v>
      </x:c>
      <x:c r="J54" s="10">
        <x:v>25.25</x:v>
      </x:c>
      <x:c r="K54" s="10">
        <x:v>10.06</x:v>
      </x:c>
      <x:c r="L54" s="10">
        <x:v>0.2</x:v>
      </x:c>
      <x:c r="M54" s="10">
        <x:v>0.43</x:v>
      </x:c>
      <x:c r="N54" s="10"/>
      <x:c r="O54" s="12"/>
    </x:row>
    <x:row r="55">
      <x:c r="A55" s="9" t="s">
        <x:v>64</x:v>
      </x:c>
      <x:c r="B55" s="10">
        <x:v>51.54</x:v>
      </x:c>
      <x:c r="C55" s="10">
        <x:v>4.66</x:v>
      </x:c>
      <x:c r="D55" s="10">
        <x:v>0.28999999999999998</x:v>
      </x:c>
      <x:c r="E55" s="10">
        <x:v>0.87</x:v>
      </x:c>
      <x:c r="F55" s="10">
        <x:v>0.61</x:v>
      </x:c>
      <x:c r="G55" s="10">
        <x:v>3.06</x:v>
      </x:c>
      <x:c r="H55" s="10"/>
      <x:c r="I55" s="10">
        <x:v>0.65</x:v>
      </x:c>
      <x:c r="J55" s="10">
        <x:v>25.4</x:v>
      </x:c>
      <x:c r="K55" s="10">
        <x:v>9.23</x:v>
      </x:c>
      <x:c r="L55" s="10">
        <x:v>0.1</x:v>
      </x:c>
      <x:c r="M55" s="10">
        <x:v>0.85</x:v>
      </x:c>
      <x:c r="N55" s="10"/>
      <x:c r="O55" s="12"/>
    </x:row>
    <x:row r="56">
      <x:c r="A56" s="9" t="s">
        <x:v>65</x:v>
      </x:c>
      <x:c r="B56" s="10">
        <x:v>53.33</x:v>
      </x:c>
      <x:c r="C56" s="10">
        <x:v>0.8</x:v>
      </x:c>
      <x:c r="D56" s="10">
        <x:v>0.32</x:v>
      </x:c>
      <x:c r="E56" s="10">
        <x:v>2.82</x:v>
      </x:c>
      <x:c r="F56" s="10">
        <x:v>1.54</x:v>
      </x:c>
      <x:c r="G56" s="10">
        <x:v>13.65</x:v>
      </x:c>
      <x:c r="H56" s="10">
        <x:v>1.03</x:v>
      </x:c>
      <x:c r="I56" s="10"/>
      <x:c r="J56" s="10">
        <x:v>15.71</x:v>
      </x:c>
      <x:c r="K56" s="10">
        <x:v>7.31</x:v>
      </x:c>
      <x:c r="L56" s="10">
        <x:v>1.1000000000000001</x:v>
      </x:c>
      <x:c r="M56" s="10">
        <x:v>0.25</x:v>
      </x:c>
      <x:c r="N56" s="10">
        <x:v>1.31</x:v>
      </x:c>
      <x:c r="O56" s="12"/>
    </x:row>
    <x:row r="57">
      <x:c r="A57" s="9" t="s">
        <x:v>66</x:v>
      </x:c>
      <x:c r="B57" s="10">
        <x:v>28.79</x:v>
      </x:c>
      <x:c r="C57" s="10"/>
      <x:c r="D57" s="10"/>
      <x:c r="E57" s="10">
        <x:v>4.58</x:v>
      </x:c>
      <x:c r="F57" s="10">
        <x:v>1.47</x:v>
      </x:c>
      <x:c r="G57" s="10">
        <x:v>5.38</x:v>
      </x:c>
      <x:c r="H57" s="10">
        <x:v>2.74</x:v>
      </x:c>
      <x:c r="I57" s="10">
        <x:v>0.7</x:v>
      </x:c>
      <x:c r="J57" s="10">
        <x:v>34.18</x:v>
      </x:c>
      <x:c r="K57" s="10">
        <x:v>6.1</x:v>
      </x:c>
      <x:c r="L57" s="10">
        <x:v>11.1</x:v>
      </x:c>
      <x:c r="M57" s="10">
        <x:v>0.46</x:v>
      </x:c>
      <x:c r="N57" s="10"/>
      <x:c r="O57" s="12"/>
    </x:row>
    <x:row r="58">
      <x:c r="A58" s="9" t="s">
        <x:v>110</x:v>
      </x:c>
      <x:c r="B58" s="10">
        <x:v>54.61</x:v>
      </x:c>
      <x:c r="C58" s="10"/>
      <x:c r="D58" s="10">
        <x:v>0.3</x:v>
      </x:c>
      <x:c r="E58" s="10">
        <x:v>2.08</x:v>
      </x:c>
      <x:c r="F58" s="10">
        <x:v>1.2</x:v>
      </x:c>
      <x:c r="G58" s="10">
        <x:v>6.5</x:v>
      </x:c>
      <x:c r="H58" s="10">
        <x:v>1.27</x:v>
      </x:c>
      <x:c r="I58" s="10">
        <x:v>0.45</x:v>
      </x:c>
      <x:c r="J58" s="10">
        <x:v>23.02</x:v>
      </x:c>
      <x:c r="K58" s="10">
        <x:v>4.1900000000000004</x:v>
      </x:c>
      <x:c r="L58" s="10">
        <x:v>4.32</x:v>
      </x:c>
      <x:c r="M58" s="10">
        <x:v>0.3</x:v>
      </x:c>
      <x:c r="N58" s="10"/>
      <x:c r="O58" s="12"/>
    </x:row>
    <x:row r="59">
      <x:c r="A59" s="9" t="s">
        <x:v>68</x:v>
      </x:c>
      <x:c r="B59" s="10">
        <x:v>17.98</x:v>
      </x:c>
      <x:c r="C59" s="10"/>
      <x:c r="D59" s="10"/>
      <x:c r="E59" s="10">
        <x:v>3.19</x:v>
      </x:c>
      <x:c r="F59" s="10">
        <x:v>0.47</x:v>
      </x:c>
      <x:c r="G59" s="10">
        <x:v>1.87</x:v>
      </x:c>
      <x:c r="H59" s="10">
        <x:v>0.33</x:v>
      </x:c>
      <x:c r="I59" s="10">
        <x:v>1.1299999999999999</x:v>
      </x:c>
      <x:c r="J59" s="10">
        <x:v>44</x:v>
      </x:c>
      <x:c r="K59" s="10">
        <x:v>14.2</x:v>
      </x:c>
      <x:c r="L59" s="10">
        <x:v>6.34</x:v>
      </x:c>
      <x:c r="M59" s="10">
        <x:v>0.66</x:v>
      </x:c>
      <x:c r="N59" s="10"/>
      <x:c r="O59" s="12"/>
    </x:row>
    <x:row r="60">
      <x:c r="A60" s="9" t="s">
        <x:v>111</x:v>
      </x:c>
      <x:c r="B60" s="10">
        <x:v>45.02</x:v>
      </x:c>
      <x:c r="C60" s="10"/>
      <x:c r="D60" s="10"/>
      <x:c r="E60" s="10">
        <x:v>3.12</x:v>
      </x:c>
      <x:c r="F60" s="10">
        <x:v>0.54</x:v>
      </x:c>
      <x:c r="G60" s="10">
        <x:v>4.16</x:v>
      </x:c>
      <x:c r="H60" s="10"/>
      <x:c r="I60" s="10">
        <x:v>0.7</x:v>
      </x:c>
      <x:c r="J60" s="10">
        <x:v>30.61</x:v>
      </x:c>
      <x:c r="K60" s="10">
        <x:v>6.22</x:v>
      </x:c>
      <x:c r="L60" s="10">
        <x:v>6.34</x:v>
      </x:c>
      <x:c r="M60" s="10">
        <x:v>0.23</x:v>
      </x:c>
      <x:c r="N60" s="10"/>
      <x:c r="O60" s="12"/>
    </x:row>
    <x:row r="61">
      <x:c r="A61" s="9" t="s">
        <x:v>112</x:v>
      </x:c>
      <x:c r="B61" s="10">
        <x:v>24.61</x:v>
      </x:c>
      <x:c r="C61" s="10"/>
      <x:c r="D61" s="10"/>
      <x:c r="E61" s="10">
        <x:v>3.58</x:v>
      </x:c>
      <x:c r="F61" s="10">
        <x:v>1.19</x:v>
      </x:c>
      <x:c r="G61" s="10">
        <x:v>5.25</x:v>
      </x:c>
      <x:c r="H61" s="10">
        <x:v>1.19</x:v>
      </x:c>
      <x:c r="I61" s="10">
        <x:v>1.37</x:v>
      </x:c>
      <x:c r="J61" s="10">
        <x:v>40.24</x:v>
      </x:c>
      <x:c r="K61" s="10">
        <x:v>8.94</x:v>
      </x:c>
      <x:c r="L61" s="10">
        <x:v>8.1</x:v>
      </x:c>
      <x:c r="M61" s="10">
        <x:v>0.39</x:v>
      </x:c>
      <x:c r="N61" s="10">
        <x:v>0.47</x:v>
      </x:c>
      <x:c r="O61" s="12"/>
    </x:row>
    <x:row r="62">
      <x:c r="A62" s="9" t="s">
        <x:v>113</x:v>
      </x:c>
      <x:c r="B62" s="10">
        <x:v>21.35</x:v>
      </x:c>
      <x:c r="C62" s="10"/>
      <x:c r="D62" s="10"/>
      <x:c r="E62" s="10">
        <x:v>5.13</x:v>
      </x:c>
      <x:c r="F62" s="10">
        <x:v>1.45</x:v>
      </x:c>
      <x:c r="G62" s="10">
        <x:v>2.5099999999999998</x:v>
      </x:c>
      <x:c r="H62" s="10">
        <x:v>0.42</x:v>
      </x:c>
      <x:c r="I62" s="10">
        <x:v>0.75</x:v>
      </x:c>
      <x:c r="J62" s="10">
        <x:v>51.34</x:v>
      </x:c>
      <x:c r="K62" s="10"/>
      <x:c r="L62" s="10">
        <x:v>8.75</x:v>
      </x:c>
      <x:c r="M62" s="10"/>
      <x:c r="N62" s="10"/>
      <x:c r="O62" s="12"/>
    </x:row>
    <x:row r="63">
      <x:c r="A63" s="9" t="s">
        <x:v>70</x:v>
      </x:c>
      <x:c r="B63" s="10">
        <x:v>25.74</x:v>
      </x:c>
      <x:c r="C63" s="10">
        <x:v>1.22</x:v>
      </x:c>
      <x:c r="D63" s="10"/>
      <x:c r="E63" s="10">
        <x:v>2.27</x:v>
      </x:c>
      <x:c r="F63" s="10">
        <x:v>0.55000000000000004</x:v>
      </x:c>
      <x:c r="G63" s="10">
        <x:v>1.1599999999999999</x:v>
      </x:c>
      <x:c r="H63" s="10">
        <x:v>0.23</x:v>
      </x:c>
      <x:c r="I63" s="10">
        <x:v>0.7</x:v>
      </x:c>
      <x:c r="J63" s="10">
        <x:v>47.42</x:v>
      </x:c>
      <x:c r="K63" s="10">
        <x:v>8.64</x:v>
      </x:c>
      <x:c r="L63" s="10">
        <x:v>5.71</x:v>
      </x:c>
      <x:c r="M63" s="10">
        <x:v>0.44</x:v>
      </x:c>
      <x:c r="N63" s="10"/>
      <x:c r="O63" s="12"/>
    </x:row>
    <x:row r="64">
      <x:c r="A64" s="9" t="s">
        <x:v>114</x:v>
      </x:c>
      <x:c r="B64" s="10">
        <x:v>63.66</x:v>
      </x:c>
      <x:c r="C64" s="10">
        <x:v>3.04</x:v>
      </x:c>
      <x:c r="D64" s="10">
        <x:v>0.11</x:v>
      </x:c>
      <x:c r="E64" s="10">
        <x:v>0.78</x:v>
      </x:c>
      <x:c r="F64" s="10">
        <x:v>1.1399999999999999</x:v>
      </x:c>
      <x:c r="G64" s="10">
        <x:v>6.06</x:v>
      </x:c>
      <x:c r="H64" s="10"/>
      <x:c r="I64" s="10">
        <x:v>0.54</x:v>
      </x:c>
      <x:c r="J64" s="10">
        <x:v>13.66</x:v>
      </x:c>
      <x:c r="K64" s="10">
        <x:v>8.99</x:v>
      </x:c>
      <x:c r="L64" s="10"/>
      <x:c r="M64" s="10">
        <x:v>0.27</x:v>
      </x:c>
      <x:c r="N64" s="10"/>
      <x:c r="O64" s="12"/>
    </x:row>
    <x:row r="65">
      <x:c r="A65" s="9" t="s">
        <x:v>72</x:v>
      </x:c>
      <x:c r="B65" s="10">
        <x:v>22.28</x:v>
      </x:c>
      <x:c r="C65" s="10"/>
      <x:c r="D65" s="10">
        <x:v>0.32</x:v>
      </x:c>
      <x:c r="E65" s="10">
        <x:v>3.19</x:v>
      </x:c>
      <x:c r="F65" s="10">
        <x:v>1.28</x:v>
      </x:c>
      <x:c r="G65" s="10">
        <x:v>4.1500000000000004</x:v>
      </x:c>
      <x:c r="H65" s="10"/>
      <x:c r="I65" s="10">
        <x:v>0.83</x:v>
      </x:c>
      <x:c r="J65" s="10">
        <x:v>55.46</x:v>
      </x:c>
      <x:c r="K65" s="10">
        <x:v>7.04</x:v>
      </x:c>
      <x:c r="L65" s="10">
        <x:v>4.24</x:v>
      </x:c>
      <x:c r="M65" s="10">
        <x:v>0.88</x:v>
      </x:c>
      <x:c r="N65" s="10"/>
      <x:c r="O65" s="12"/>
    </x:row>
    <x:row r="66">
      <x:c r="A66" s="9" t="s">
        <x:v>115</x:v>
      </x:c>
      <x:c r="B66" s="10">
        <x:v>17.11</x:v>
      </x:c>
      <x:c r="C66" s="10"/>
      <x:c r="D66" s="10"/>
      <x:c r="E66" s="10"/>
      <x:c r="F66" s="10">
        <x:v>1.1100000000000001</x:v>
      </x:c>
      <x:c r="G66" s="10">
        <x:v>3.65</x:v>
      </x:c>
      <x:c r="H66" s="10"/>
      <x:c r="I66" s="10">
        <x:v>1.34</x:v>
      </x:c>
      <x:c r="J66" s="10">
        <x:v>58.46</x:v>
      </x:c>
      <x:c r="K66" s="10"/>
      <x:c r="L66" s="10">
        <x:v>14.13</x:v>
      </x:c>
      <x:c r="M66" s="10">
        <x:v>1.1200000000000001</x:v>
      </x:c>
      <x:c r="N66" s="10"/>
      <x:c r="O66" s="12"/>
    </x:row>
    <x:row r="67">
      <x:c r="A67" s="9" t="s">
        <x:v>73</x:v>
      </x:c>
      <x:c r="B67" s="10">
        <x:v>49.01</x:v>
      </x:c>
      <x:c r="C67" s="10">
        <x:v>2.71</x:v>
      </x:c>
      <x:c r="D67" s="10"/>
      <x:c r="E67" s="10">
        <x:v>1.1299999999999999</x:v>
      </x:c>
      <x:c r="F67" s="10"/>
      <x:c r="G67" s="10">
        <x:v>1.45</x:v>
      </x:c>
      <x:c r="H67" s="10"/>
      <x:c r="I67" s="10">
        <x:v>0.86</x:v>
      </x:c>
      <x:c r="J67" s="10">
        <x:v>32.92</x:v>
      </x:c>
      <x:c r="K67" s="10">
        <x:v>7.95</x:v>
      </x:c>
      <x:c r="L67" s="10">
        <x:v>0.35</x:v>
      </x:c>
      <x:c r="M67" s="10"/>
      <x:c r="N67" s="10"/>
      <x:c r="O67" s="12"/>
    </x:row>
    <x:row r="68">
      <x:c r="A68" s="9" t="s">
        <x:v>75</x:v>
      </x:c>
      <x:c r="B68" s="10">
        <x:v>29.15</x:v>
      </x:c>
      <x:c r="C68" s="10"/>
      <x:c r="D68" s="10"/>
      <x:c r="E68" s="10">
        <x:v>1.21</x:v>
      </x:c>
      <x:c r="F68" s="10"/>
      <x:c r="G68" s="10">
        <x:v>1.85</x:v>
      </x:c>
      <x:c r="H68" s="10"/>
      <x:c r="I68" s="10">
        <x:v>0.79</x:v>
      </x:c>
      <x:c r="J68" s="10">
        <x:v>41.25</x:v>
      </x:c>
      <x:c r="K68" s="10">
        <x:v>15.45</x:v>
      </x:c>
      <x:c r="L68" s="10">
        <x:v>2.54</x:v>
      </x:c>
      <x:c r="M68" s="10"/>
      <x:c r="N68" s="10"/>
      <x:c r="O68" s="12"/>
    </x:row>
    <x:row r="69">
      <x:c r="A69" s="9" t="s">
        <x:v>76</x:v>
      </x:c>
      <x:c r="B69" s="10">
        <x:v>25.42</x:v>
      </x:c>
      <x:c r="C69" s="10"/>
      <x:c r="D69" s="10"/>
      <x:c r="E69" s="10">
        <x:v>1.31</x:v>
      </x:c>
      <x:c r="F69" s="10"/>
      <x:c r="G69" s="10">
        <x:v>2.1800000000000002</x:v>
      </x:c>
      <x:c r="H69" s="10"/>
      <x:c r="I69" s="10">
        <x:v>1.1599999999999999</x:v>
      </x:c>
      <x:c r="J69" s="10">
        <x:v>45.1</x:v>
      </x:c>
      <x:c r="K69" s="10">
        <x:v>17.3</x:v>
      </x:c>
      <x:c r="L69" s="10"/>
      <x:c r="M69" s="10"/>
      <x:c r="N69" s="10"/>
      <x:c r="O69" s="12"/>
    </x:row>
    <x:row r="70">
      <x:c r="A70" s="9" t="s">
        <x:v>77</x:v>
      </x:c>
      <x:c r="B70" s="10">
        <x:v>30.39</x:v>
      </x:c>
      <x:c r="C70" s="10"/>
      <x:c r="D70" s="10">
        <x:v>0.34</x:v>
      </x:c>
      <x:c r="E70" s="10">
        <x:v>3.49</x:v>
      </x:c>
      <x:c r="F70" s="10">
        <x:v>0.79</x:v>
      </x:c>
      <x:c r="G70" s="10">
        <x:v>3.52</x:v>
      </x:c>
      <x:c r="H70" s="10">
        <x:v>0.86</x:v>
      </x:c>
      <x:c r="I70" s="10">
        <x:v>3.13</x:v>
      </x:c>
      <x:c r="J70" s="10">
        <x:v>39.35</x:v>
      </x:c>
      <x:c r="K70" s="10">
        <x:v>7.66</x:v>
      </x:c>
      <x:c r="L70" s="10">
        <x:v>8.99</x:v>
      </x:c>
      <x:c r="M70" s="10">
        <x:v>0.24</x:v>
      </x:c>
      <x:c r="N70" s="10"/>
      <x:c r="O7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6640625" defaultRowHeight="14"/>
  <x:cols>
    <x:col min="1" max="2" width="9.6640625" style="1" customWidth="1"/>
    <x:col min="3" max="16" width="9.6640625" customWidth="1"/>
  </x:cols>
  <x:sheetData>
    <x:row r="1" s="1" customFormat="1" ht="34">
      <x:c r="A1" s="16" t="s">
        <x:v>0</x:v>
      </x:c>
      <x:c r="B1" s="5" t="s">
        <x:v>4</x:v>
      </x:c>
      <x:c r="C1" s="20" t="s">
        <x:v>116</x:v>
      </x:c>
      <x:c r="D1" s="20" t="s">
        <x:v>117</x:v>
      </x:c>
      <x:c r="E1" s="20" t="s">
        <x:v>118</x:v>
      </x:c>
      <x:c r="F1" s="20" t="s">
        <x:v>119</x:v>
      </x:c>
      <x:c r="G1" s="20" t="s">
        <x:v>120</x:v>
      </x:c>
      <x:c r="H1" s="20" t="s">
        <x:v>121</x:v>
      </x:c>
      <x:c r="I1" s="20" t="s">
        <x:v>122</x:v>
      </x:c>
      <x:c r="J1" s="20" t="s">
        <x:v>123</x:v>
      </x:c>
      <x:c r="K1" s="20" t="s">
        <x:v>124</x:v>
      </x:c>
      <x:c r="L1" s="20" t="s">
        <x:v>125</x:v>
      </x:c>
      <x:c r="M1" s="20" t="s">
        <x:v>126</x:v>
      </x:c>
      <x:c r="N1" s="20" t="s">
        <x:v>127</x:v>
      </x:c>
      <x:c r="O1" s="20" t="s">
        <x:v>128</x:v>
      </x:c>
      <x:c r="P1" s="20" t="s">
        <x:v>129</x:v>
      </x:c>
    </x:row>
    <x:row r="2">
      <x:c r="A2" s="17" t="s">
        <x:v>130</x:v>
      </x:c>
      <x:c r="B2" s="14" t="s">
        <x:v>9</x:v>
      </x:c>
      <x:c r="C2" s="10">
        <x:v>78.45</x:v>
      </x:c>
      <x:c r="D2" s="10"/>
      <x:c r="E2" s="10"/>
      <x:c r="F2" s="10">
        <x:v>6.08</x:v>
      </x:c>
      <x:c r="G2" s="10">
        <x:v>1.86</x:v>
      </x:c>
      <x:c r="H2" s="10">
        <x:v>7.23</x:v>
      </x:c>
      <x:c r="I2" s="10">
        <x:v>2.15</x:v>
      </x:c>
      <x:c r="J2" s="10">
        <x:v>2.11</x:v>
      </x:c>
      <x:c r="K2" s="10"/>
      <x:c r="L2" s="10"/>
      <x:c r="M2" s="10">
        <x:v>1.06</x:v>
      </x:c>
      <x:c r="N2" s="10">
        <x:v>0.03</x:v>
      </x:c>
      <x:c r="O2" s="10"/>
      <x:c r="P2" s="10">
        <x:v>0.51</x:v>
      </x:c>
    </x:row>
    <x:row r="3">
      <x:c r="A3" s="17" t="s">
        <x:v>131</x:v>
      </x:c>
      <x:c r="B3" s="14" t="s">
        <x:v>14</x:v>
      </x:c>
      <x:c r="C3" s="10">
        <x:v>37.75</x:v>
      </x:c>
      <x:c r="D3" s="10"/>
      <x:c r="E3" s="10"/>
      <x:c r="F3" s="10">
        <x:v>7.63</x:v>
      </x:c>
      <x:c r="G3" s="10"/>
      <x:c r="H3" s="10">
        <x:v>2.33</x:v>
      </x:c>
      <x:c r="I3" s="10"/>
      <x:c r="J3" s="10"/>
      <x:c r="K3" s="10">
        <x:v>34.299999999999997</x:v>
      </x:c>
      <x:c r="L3" s="10"/>
      <x:c r="M3" s="10">
        <x:v>14.27</x:v>
      </x:c>
      <x:c r="N3" s="10"/>
      <x:c r="O3" s="10"/>
      <x:c r="P3" s="17"/>
    </x:row>
    <x:row r="4">
      <x:c r="A4" s="17" t="s">
        <x:v>132</x:v>
      </x:c>
      <x:c r="B4" s="14" t="s">
        <x:v>9</x:v>
      </x:c>
      <x:c r="C4" s="10">
        <x:v>31.95</x:v>
      </x:c>
      <x:c r="D4" s="10"/>
      <x:c r="E4" s="10">
        <x:v>1.36</x:v>
      </x:c>
      <x:c r="F4" s="10">
        <x:v>7.19</x:v>
      </x:c>
      <x:c r="G4" s="10">
        <x:v>0.81</x:v>
      </x:c>
      <x:c r="H4" s="10">
        <x:v>2.93</x:v>
      </x:c>
      <x:c r="I4" s="10">
        <x:v>7.06</x:v>
      </x:c>
      <x:c r="J4" s="10">
        <x:v>0.21</x:v>
      </x:c>
      <x:c r="K4" s="10">
        <x:v>39.58</x:v>
      </x:c>
      <x:c r="L4" s="10">
        <x:v>4.6900000000000004</x:v>
      </x:c>
      <x:c r="M4" s="10">
        <x:v>2.68</x:v>
      </x:c>
      <x:c r="N4" s="10">
        <x:v>0.52</x:v>
      </x:c>
      <x:c r="O4" s="10"/>
      <x:c r="P4" s="17"/>
    </x:row>
    <x:row r="5">
      <x:c r="A5" s="17" t="s">
        <x:v>133</x:v>
      </x:c>
      <x:c r="B5" s="14" t="s">
        <x:v>9</x:v>
      </x:c>
      <x:c r="C5" s="10">
        <x:v>35.47</x:v>
      </x:c>
      <x:c r="D5" s="10"/>
      <x:c r="E5" s="10">
        <x:v>0.79</x:v>
      </x:c>
      <x:c r="F5" s="10">
        <x:v>2.89</x:v>
      </x:c>
      <x:c r="G5" s="10">
        <x:v>1.05</x:v>
      </x:c>
      <x:c r="H5" s="10">
        <x:v>7.07</x:v>
      </x:c>
      <x:c r="I5" s="10">
        <x:v>6.45</x:v>
      </x:c>
      <x:c r="J5" s="10">
        <x:v>0.96</x:v>
      </x:c>
      <x:c r="K5" s="10">
        <x:v>24.28</x:v>
      </x:c>
      <x:c r="L5" s="10">
        <x:v>8.31</x:v>
      </x:c>
      <x:c r="M5" s="10">
        <x:v>8.4499999999999993</x:v>
      </x:c>
      <x:c r="N5" s="10">
        <x:v>0.28000000000000003</x:v>
      </x:c>
      <x:c r="O5" s="10"/>
      <x:c r="P5" s="10"/>
    </x:row>
    <x:row r="6">
      <x:c r="A6" s="17" t="s">
        <x:v>134</x:v>
      </x:c>
      <x:c r="B6" s="14" t="s">
        <x:v>14</x:v>
      </x:c>
      <x:c r="C6" s="10">
        <x:v>64.290000000000006</x:v>
      </x:c>
      <x:c r="D6" s="10">
        <x:v>1.2</x:v>
      </x:c>
      <x:c r="E6" s="10">
        <x:v>0.37</x:v>
      </x:c>
      <x:c r="F6" s="10">
        <x:v>1.64</x:v>
      </x:c>
      <x:c r="G6" s="10">
        <x:v>2.34</x:v>
      </x:c>
      <x:c r="H6" s="10">
        <x:v>12.75</x:v>
      </x:c>
      <x:c r="I6" s="10">
        <x:v>0.81</x:v>
      </x:c>
      <x:c r="J6" s="10">
        <x:v>0.94</x:v>
      </x:c>
      <x:c r="K6" s="10">
        <x:v>12.23</x:v>
      </x:c>
      <x:c r="L6" s="10">
        <x:v>2.16</x:v>
      </x:c>
      <x:c r="M6" s="10">
        <x:v>0.19</x:v>
      </x:c>
      <x:c r="N6" s="10">
        <x:v>0.21</x:v>
      </x:c>
      <x:c r="O6" s="10">
        <x:v>0.49</x:v>
      </x:c>
      <x:c r="P6" s="17"/>
    </x:row>
    <x:row r="7">
      <x:c r="A7" s="17" t="s">
        <x:v>135</x:v>
      </x:c>
      <x:c r="B7" s="14" t="s">
        <x:v>14</x:v>
      </x:c>
      <x:c r="C7" s="4">
        <x:v>93.17</x:v>
      </x:c>
      <x:c r="D7" s="4"/>
      <x:c r="E7" s="4">
        <x:v>1.35</x:v>
      </x:c>
      <x:c r="F7" s="4">
        <x:v>0.64</x:v>
      </x:c>
      <x:c r="G7" s="4">
        <x:v>0.21</x:v>
      </x:c>
      <x:c r="H7" s="4">
        <x:v>1.52</x:v>
      </x:c>
      <x:c r="I7" s="4">
        <x:v>0.27</x:v>
      </x:c>
      <x:c r="J7" s="4">
        <x:v>1.73</x:v>
      </x:c>
      <x:c r="K7" s="17"/>
      <x:c r="L7" s="17"/>
      <x:c r="M7" s="10">
        <x:v>0.21</x:v>
      </x:c>
      <x:c r="N7" s="17"/>
      <x:c r="O7" s="17"/>
      <x:c r="P7" s="17"/>
    </x:row>
    <x:row r="8">
      <x:c r="A8" s="17" t="s">
        <x:v>136</x:v>
      </x:c>
      <x:c r="B8" s="14" t="s">
        <x:v>14</x:v>
      </x:c>
      <x:c r="C8" s="10">
        <x:v>90.83</x:v>
      </x:c>
      <x:c r="D8" s="10"/>
      <x:c r="E8" s="10">
        <x:v>0.98</x:v>
      </x:c>
      <x:c r="F8" s="10">
        <x:v>1.1200000000000001</x:v>
      </x:c>
      <x:c r="G8" s="10"/>
      <x:c r="H8" s="10">
        <x:v>5.0599999999999996</x:v>
      </x:c>
      <x:c r="I8" s="10">
        <x:v>0.24</x:v>
      </x:c>
      <x:c r="J8" s="10">
        <x:v>1.17</x:v>
      </x:c>
      <x:c r="K8" s="17"/>
      <x:c r="L8" s="17"/>
      <x:c r="M8" s="17">
        <x:v>0.13</x:v>
      </x:c>
      <x:c r="N8" s="17"/>
      <x:c r="O8" s="17"/>
      <x:c r="P8" s="17">
        <x:v>0.11</x:v>
      </x:c>
    </x:row>
    <x:row r="9">
      <x:c r="A9" s="17" t="s">
        <x:v>137</x:v>
      </x:c>
      <x:c r="B9" s="14" t="s">
        <x:v>9</x:v>
      </x:c>
      <x:c r="C9" s="15">
        <x:v>51.12</x:v>
      </x:c>
      <x:c r="D9" s="15">
        <x:v>0</x:v>
      </x:c>
      <x:c r="E9" s="15">
        <x:v>0.23</x:v>
      </x:c>
      <x:c r="F9" s="15">
        <x:v>0.89</x:v>
      </x:c>
      <x:c r="G9" s="15">
        <x:v>0</x:v>
      </x:c>
      <x:c r="H9" s="15">
        <x:v>2.12</x:v>
      </x:c>
      <x:c r="I9" s="15">
        <x:v>0</x:v>
      </x:c>
      <x:c r="J9" s="15">
        <x:v>9.01</x:v>
      </x:c>
      <x:c r="K9" s="15">
        <x:v>21.24</x:v>
      </x:c>
      <x:c r="L9" s="15">
        <x:v>11.34</x:v>
      </x:c>
      <x:c r="M9" s="15">
        <x:v>1.46</x:v>
      </x:c>
      <x:c r="N9" s="15">
        <x:v>0.31</x:v>
      </x:c>
      <x:c r="O9" s="15">
        <x:v>0</x:v>
      </x:c>
      <x:c r="P9" s="15">
        <x:v>2.2599999999999998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1" t="str">
        <x:v>文物编号</x:v>
      </x:c>
      <x:c r="B1" s="31" t="str">
        <x:v>纹饰</x:v>
      </x:c>
      <x:c r="C1" s="31" t="str">
        <x:v>类型</x:v>
      </x:c>
      <x:c r="D1" s="31" t="str">
        <x:v>颜色</x:v>
      </x:c>
      <x:c r="E1" s="31" t="str">
        <x:v>表面风化</x:v>
      </x:c>
      <x:c r="F1" s="31" t="str">
        <x:v>清洗颜色</x:v>
      </x:c>
      <x:c r="G1" s="31" t="str">
        <x:v>风化编码</x:v>
      </x:c>
      <x:c r="H1" s="31" t="str">
        <x:v>颜色缺失</x:v>
      </x:c>
      <x:c r="I1" s="31" t="str">
        <x:v>数据检查</x:v>
      </x:c>
    </x:row>
    <x:row r="2">
      <x:c r="A2" s="32" t="str">
        <x:v>01</x:v>
      </x:c>
      <x:c r="B2" s="26" t="str">
        <x:v>C</x:v>
      </x:c>
      <x:c r="C2" s="26" t="str">
        <x:v>高钾</x:v>
      </x:c>
      <x:c r="D2" s="26" t="str">
        <x:v>蓝绿</x:v>
      </x:c>
      <x:c r="E2" s="26" t="str">
        <x:v>无风化</x:v>
      </x:c>
      <x:c r="F2" s="24" t="str">
        <x:f>IF(D2="","未知",D2)</x:f>
        <x:v>蓝绿</x:v>
      </x:c>
      <x:c r="G2" s="25" t="n">
        <x:f>IF(E2="风化",1,IF(E2="无风化",0,"检查"))</x:f>
        <x:v>0</x:v>
      </x:c>
      <x:c r="H2" s="25" t="n">
        <x:f>IF(D2="",1,0)</x:f>
        <x:v>0</x:v>
      </x:c>
      <x:c r="I2" s="24" t="str">
        <x:f>IF(AND(A2&lt;&gt;"",OR(B2="A",B2="B",B2="C"),OR(C2="高钾",C2="铅钡"),OR(E2="风化",E2="无风化"),COUNTIF($A$2:$A$59,A2)=1),"通过","检查")</x:f>
        <x:v>通过</x:v>
      </x:c>
    </x:row>
    <x:row r="3">
      <x:c r="A3" s="32" t="str">
        <x:v>02</x:v>
      </x:c>
      <x:c r="B3" s="26" t="str">
        <x:v>A</x:v>
      </x:c>
      <x:c r="C3" s="26" t="str">
        <x:v>铅钡</x:v>
      </x:c>
      <x:c r="D3" s="26" t="str">
        <x:v>浅蓝</x:v>
      </x:c>
      <x:c r="E3" s="26" t="str">
        <x:v>风化</x:v>
      </x:c>
      <x:c r="F3" s="24" t="str">
        <x:f>IF(D3="","未知",D3)</x:f>
        <x:v>浅蓝</x:v>
      </x:c>
      <x:c r="G3" s="25" t="n">
        <x:f>IF(E3="风化",1,IF(E3="无风化",0,"检查"))</x:f>
        <x:v>1</x:v>
      </x:c>
      <x:c r="H3" s="25" t="n">
        <x:f>IF(D3="",1,0)</x:f>
        <x:v>0</x:v>
      </x:c>
      <x:c r="I3" s="24" t="str">
        <x:f>IF(AND(A3&lt;&gt;"",OR(B3="A",B3="B",B3="C"),OR(C3="高钾",C3="铅钡"),OR(E3="风化",E3="无风化"),COUNTIF($A$2:$A$59,A3)=1),"通过","检查")</x:f>
        <x:v>通过</x:v>
      </x:c>
    </x:row>
    <x:row r="4">
      <x:c r="A4" s="32" t="str">
        <x:v>03</x:v>
      </x:c>
      <x:c r="B4" s="26" t="str">
        <x:v>A</x:v>
      </x:c>
      <x:c r="C4" s="26" t="str">
        <x:v>高钾</x:v>
      </x:c>
      <x:c r="D4" s="26" t="str">
        <x:v>蓝绿</x:v>
      </x:c>
      <x:c r="E4" s="26" t="str">
        <x:v>无风化</x:v>
      </x:c>
      <x:c r="F4" s="24" t="str">
        <x:f>IF(D4="","未知",D4)</x:f>
        <x:v>蓝绿</x:v>
      </x:c>
      <x:c r="G4" s="25" t="n">
        <x:f>IF(E4="风化",1,IF(E4="无风化",0,"检查"))</x:f>
        <x:v>0</x:v>
      </x:c>
      <x:c r="H4" s="25" t="n">
        <x:f>IF(D4="",1,0)</x:f>
        <x:v>0</x:v>
      </x:c>
      <x:c r="I4" s="24" t="str">
        <x:f>IF(AND(A4&lt;&gt;"",OR(B4="A",B4="B",B4="C"),OR(C4="高钾",C4="铅钡"),OR(E4="风化",E4="无风化"),COUNTIF($A$2:$A$59,A4)=1),"通过","检查")</x:f>
        <x:v>通过</x:v>
      </x:c>
    </x:row>
    <x:row r="5">
      <x:c r="A5" s="32" t="str">
        <x:v>04</x:v>
      </x:c>
      <x:c r="B5" s="26" t="str">
        <x:v>A</x:v>
      </x:c>
      <x:c r="C5" s="26" t="str">
        <x:v>高钾</x:v>
      </x:c>
      <x:c r="D5" s="26" t="str">
        <x:v>蓝绿</x:v>
      </x:c>
      <x:c r="E5" s="26" t="str">
        <x:v>无风化</x:v>
      </x:c>
      <x:c r="F5" s="24" t="str">
        <x:f>IF(D5="","未知",D5)</x:f>
        <x:v>蓝绿</x:v>
      </x:c>
      <x:c r="G5" s="25" t="n">
        <x:f>IF(E5="风化",1,IF(E5="无风化",0,"检查"))</x:f>
        <x:v>0</x:v>
      </x:c>
      <x:c r="H5" s="25" t="n">
        <x:f>IF(D5="",1,0)</x:f>
        <x:v>0</x:v>
      </x:c>
      <x:c r="I5" s="24" t="str">
        <x:f>IF(AND(A5&lt;&gt;"",OR(B5="A",B5="B",B5="C"),OR(C5="高钾",C5="铅钡"),OR(E5="风化",E5="无风化"),COUNTIF($A$2:$A$59,A5)=1),"通过","检查")</x:f>
        <x:v>通过</x:v>
      </x:c>
    </x:row>
    <x:row r="6">
      <x:c r="A6" s="32" t="str">
        <x:v>05</x:v>
      </x:c>
      <x:c r="B6" s="26" t="str">
        <x:v>A</x:v>
      </x:c>
      <x:c r="C6" s="26" t="str">
        <x:v>高钾</x:v>
      </x:c>
      <x:c r="D6" s="26" t="str">
        <x:v>蓝绿</x:v>
      </x:c>
      <x:c r="E6" s="26" t="str">
        <x:v>无风化</x:v>
      </x:c>
      <x:c r="F6" s="24" t="str">
        <x:f>IF(D6="","未知",D6)</x:f>
        <x:v>蓝绿</x:v>
      </x:c>
      <x:c r="G6" s="25" t="n">
        <x:f>IF(E6="风化",1,IF(E6="无风化",0,"检查"))</x:f>
        <x:v>0</x:v>
      </x:c>
      <x:c r="H6" s="25" t="n">
        <x:f>IF(D6="",1,0)</x:f>
        <x:v>0</x:v>
      </x:c>
      <x:c r="I6" s="24" t="str">
        <x:f>IF(AND(A6&lt;&gt;"",OR(B6="A",B6="B",B6="C"),OR(C6="高钾",C6="铅钡"),OR(E6="风化",E6="无风化"),COUNTIF($A$2:$A$59,A6)=1),"通过","检查")</x:f>
        <x:v>通过</x:v>
      </x:c>
    </x:row>
    <x:row r="7">
      <x:c r="A7" s="32" t="str">
        <x:v>06</x:v>
      </x:c>
      <x:c r="B7" s="26" t="str">
        <x:v>A</x:v>
      </x:c>
      <x:c r="C7" s="26" t="str">
        <x:v>高钾</x:v>
      </x:c>
      <x:c r="D7" s="26" t="str">
        <x:v>蓝绿</x:v>
      </x:c>
      <x:c r="E7" s="26" t="str">
        <x:v>无风化</x:v>
      </x:c>
      <x:c r="F7" s="24" t="str">
        <x:f>IF(D7="","未知",D7)</x:f>
        <x:v>蓝绿</x:v>
      </x:c>
      <x:c r="G7" s="25" t="n">
        <x:f>IF(E7="风化",1,IF(E7="无风化",0,"检查"))</x:f>
        <x:v>0</x:v>
      </x:c>
      <x:c r="H7" s="25" t="n">
        <x:f>IF(D7="",1,0)</x:f>
        <x:v>0</x:v>
      </x:c>
      <x:c r="I7" s="24" t="str">
        <x:f>IF(AND(A7&lt;&gt;"",OR(B7="A",B7="B",B7="C"),OR(C7="高钾",C7="铅钡"),OR(E7="风化",E7="无风化"),COUNTIF($A$2:$A$59,A7)=1),"通过","检查")</x:f>
        <x:v>通过</x:v>
      </x:c>
    </x:row>
    <x:row r="8">
      <x:c r="A8" s="32" t="str">
        <x:v>07</x:v>
      </x:c>
      <x:c r="B8" s="26" t="str">
        <x:v>B</x:v>
      </x:c>
      <x:c r="C8" s="26" t="str">
        <x:v>高钾</x:v>
      </x:c>
      <x:c r="D8" s="26" t="str">
        <x:v>蓝绿</x:v>
      </x:c>
      <x:c r="E8" s="26" t="str">
        <x:v>风化</x:v>
      </x:c>
      <x:c r="F8" s="24" t="str">
        <x:f>IF(D8="","未知",D8)</x:f>
        <x:v>蓝绿</x:v>
      </x:c>
      <x:c r="G8" s="25" t="n">
        <x:f>IF(E8="风化",1,IF(E8="无风化",0,"检查"))</x:f>
        <x:v>1</x:v>
      </x:c>
      <x:c r="H8" s="25" t="n">
        <x:f>IF(D8="",1,0)</x:f>
        <x:v>0</x:v>
      </x:c>
      <x:c r="I8" s="24" t="str">
        <x:f>IF(AND(A8&lt;&gt;"",OR(B8="A",B8="B",B8="C"),OR(C8="高钾",C8="铅钡"),OR(E8="风化",E8="无风化"),COUNTIF($A$2:$A$59,A8)=1),"通过","检查")</x:f>
        <x:v>通过</x:v>
      </x:c>
    </x:row>
    <x:row r="9">
      <x:c r="A9" s="32" t="str">
        <x:v>08</x:v>
      </x:c>
      <x:c r="B9" s="26" t="str">
        <x:v>C</x:v>
      </x:c>
      <x:c r="C9" s="26" t="str">
        <x:v>铅钡</x:v>
      </x:c>
      <x:c r="D9" s="26" t="str">
        <x:v>紫</x:v>
      </x:c>
      <x:c r="E9" s="26" t="str">
        <x:v>风化</x:v>
      </x:c>
      <x:c r="F9" s="24" t="str">
        <x:f>IF(D9="","未知",D9)</x:f>
        <x:v>紫</x:v>
      </x:c>
      <x:c r="G9" s="25" t="n">
        <x:f>IF(E9="风化",1,IF(E9="无风化",0,"检查"))</x:f>
        <x:v>1</x:v>
      </x:c>
      <x:c r="H9" s="25" t="n">
        <x:f>IF(D9="",1,0)</x:f>
        <x:v>0</x:v>
      </x:c>
      <x:c r="I9" s="24" t="str">
        <x:f>IF(AND(A9&lt;&gt;"",OR(B9="A",B9="B",B9="C"),OR(C9="高钾",C9="铅钡"),OR(E9="风化",E9="无风化"),COUNTIF($A$2:$A$59,A9)=1),"通过","检查")</x:f>
        <x:v>通过</x:v>
      </x:c>
    </x:row>
    <x:row r="10">
      <x:c r="A10" s="32" t="str">
        <x:v>09</x:v>
      </x:c>
      <x:c r="B10" s="26" t="str">
        <x:v>B</x:v>
      </x:c>
      <x:c r="C10" s="26" t="str">
        <x:v>高钾</x:v>
      </x:c>
      <x:c r="D10" s="26" t="str">
        <x:v>蓝绿</x:v>
      </x:c>
      <x:c r="E10" s="26" t="str">
        <x:v>风化</x:v>
      </x:c>
      <x:c r="F10" s="24" t="str">
        <x:f>IF(D10="","未知",D10)</x:f>
        <x:v>蓝绿</x:v>
      </x:c>
      <x:c r="G10" s="25" t="n">
        <x:f>IF(E10="风化",1,IF(E10="无风化",0,"检查"))</x:f>
        <x:v>1</x:v>
      </x:c>
      <x:c r="H10" s="25" t="n">
        <x:f>IF(D10="",1,0)</x:f>
        <x:v>0</x:v>
      </x:c>
      <x:c r="I10" s="24" t="str">
        <x:f>IF(AND(A10&lt;&gt;"",OR(B10="A",B10="B",B10="C"),OR(C10="高钾",C10="铅钡"),OR(E10="风化",E10="无风化"),COUNTIF($A$2:$A$59,A10)=1),"通过","检查")</x:f>
        <x:v>通过</x:v>
      </x:c>
    </x:row>
    <x:row r="11">
      <x:c r="A11" s="32" t="str">
        <x:v>10</x:v>
      </x:c>
      <x:c r="B11" s="26" t="str">
        <x:v>B</x:v>
      </x:c>
      <x:c r="C11" s="26" t="str">
        <x:v>高钾</x:v>
      </x:c>
      <x:c r="D11" s="26" t="str">
        <x:v>蓝绿</x:v>
      </x:c>
      <x:c r="E11" s="26" t="str">
        <x:v>风化</x:v>
      </x:c>
      <x:c r="F11" s="24" t="str">
        <x:f>IF(D11="","未知",D11)</x:f>
        <x:v>蓝绿</x:v>
      </x:c>
      <x:c r="G11" s="25" t="n">
        <x:f>IF(E11="风化",1,IF(E11="无风化",0,"检查"))</x:f>
        <x:v>1</x:v>
      </x:c>
      <x:c r="H11" s="25" t="n">
        <x:f>IF(D11="",1,0)</x:f>
        <x:v>0</x:v>
      </x:c>
      <x:c r="I11" s="24" t="str">
        <x:f>IF(AND(A11&lt;&gt;"",OR(B11="A",B11="B",B11="C"),OR(C11="高钾",C11="铅钡"),OR(E11="风化",E11="无风化"),COUNTIF($A$2:$A$59,A11)=1),"通过","检查")</x:f>
        <x:v>通过</x:v>
      </x:c>
    </x:row>
    <x:row r="12">
      <x:c r="A12" s="32" t="str">
        <x:v>11</x:v>
      </x:c>
      <x:c r="B12" s="26" t="str">
        <x:v>C</x:v>
      </x:c>
      <x:c r="C12" s="26" t="str">
        <x:v>铅钡</x:v>
      </x:c>
      <x:c r="D12" s="26" t="str">
        <x:v>浅蓝</x:v>
      </x:c>
      <x:c r="E12" s="26" t="str">
        <x:v>风化</x:v>
      </x:c>
      <x:c r="F12" s="24" t="str">
        <x:f>IF(D12="","未知",D12)</x:f>
        <x:v>浅蓝</x:v>
      </x:c>
      <x:c r="G12" s="25" t="n">
        <x:f>IF(E12="风化",1,IF(E12="无风化",0,"检查"))</x:f>
        <x:v>1</x:v>
      </x:c>
      <x:c r="H12" s="25" t="n">
        <x:f>IF(D12="",1,0)</x:f>
        <x:v>0</x:v>
      </x:c>
      <x:c r="I12" s="24" t="str">
        <x:f>IF(AND(A12&lt;&gt;"",OR(B12="A",B12="B",B12="C"),OR(C12="高钾",C12="铅钡"),OR(E12="风化",E12="无风化"),COUNTIF($A$2:$A$59,A12)=1),"通过","检查")</x:f>
        <x:v>通过</x:v>
      </x:c>
    </x:row>
    <x:row r="13">
      <x:c r="A13" s="32" t="str">
        <x:v>12</x:v>
      </x:c>
      <x:c r="B13" s="26" t="str">
        <x:v>B</x:v>
      </x:c>
      <x:c r="C13" s="26" t="str">
        <x:v>高钾</x:v>
      </x:c>
      <x:c r="D13" s="26" t="str">
        <x:v>蓝绿</x:v>
      </x:c>
      <x:c r="E13" s="26" t="str">
        <x:v>风化</x:v>
      </x:c>
      <x:c r="F13" s="24" t="str">
        <x:f>IF(D13="","未知",D13)</x:f>
        <x:v>蓝绿</x:v>
      </x:c>
      <x:c r="G13" s="25" t="n">
        <x:f>IF(E13="风化",1,IF(E13="无风化",0,"检查"))</x:f>
        <x:v>1</x:v>
      </x:c>
      <x:c r="H13" s="25" t="n">
        <x:f>IF(D13="",1,0)</x:f>
        <x:v>0</x:v>
      </x:c>
      <x:c r="I13" s="24" t="str">
        <x:f>IF(AND(A13&lt;&gt;"",OR(B13="A",B13="B",B13="C"),OR(C13="高钾",C13="铅钡"),OR(E13="风化",E13="无风化"),COUNTIF($A$2:$A$59,A13)=1),"通过","检查")</x:f>
        <x:v>通过</x:v>
      </x:c>
    </x:row>
    <x:row r="14">
      <x:c r="A14" s="32" t="str">
        <x:v>13</x:v>
      </x:c>
      <x:c r="B14" s="26" t="str">
        <x:v>C</x:v>
      </x:c>
      <x:c r="C14" s="26" t="str">
        <x:v>高钾</x:v>
      </x:c>
      <x:c r="D14" s="26" t="str">
        <x:v>浅蓝</x:v>
      </x:c>
      <x:c r="E14" s="26" t="str">
        <x:v>无风化</x:v>
      </x:c>
      <x:c r="F14" s="24" t="str">
        <x:f>IF(D14="","未知",D14)</x:f>
        <x:v>浅蓝</x:v>
      </x:c>
      <x:c r="G14" s="25" t="n">
        <x:f>IF(E14="风化",1,IF(E14="无风化",0,"检查"))</x:f>
        <x:v>0</x:v>
      </x:c>
      <x:c r="H14" s="25" t="n">
        <x:f>IF(D14="",1,0)</x:f>
        <x:v>0</x:v>
      </x:c>
      <x:c r="I14" s="24" t="str">
        <x:f>IF(AND(A14&lt;&gt;"",OR(B14="A",B14="B",B14="C"),OR(C14="高钾",C14="铅钡"),OR(E14="风化",E14="无风化"),COUNTIF($A$2:$A$59,A14)=1),"通过","检查")</x:f>
        <x:v>通过</x:v>
      </x:c>
    </x:row>
    <x:row r="15">
      <x:c r="A15" s="32" t="str">
        <x:v>14</x:v>
      </x:c>
      <x:c r="B15" s="26" t="str">
        <x:v>C</x:v>
      </x:c>
      <x:c r="C15" s="26" t="str">
        <x:v>高钾</x:v>
      </x:c>
      <x:c r="D15" s="26" t="str">
        <x:v>深绿</x:v>
      </x:c>
      <x:c r="E15" s="26" t="str">
        <x:v>无风化</x:v>
      </x:c>
      <x:c r="F15" s="24" t="str">
        <x:f>IF(D15="","未知",D15)</x:f>
        <x:v>深绿</x:v>
      </x:c>
      <x:c r="G15" s="25" t="n">
        <x:f>IF(E15="风化",1,IF(E15="无风化",0,"检查"))</x:f>
        <x:v>0</x:v>
      </x:c>
      <x:c r="H15" s="25" t="n">
        <x:f>IF(D15="",1,0)</x:f>
        <x:v>0</x:v>
      </x:c>
      <x:c r="I15" s="24" t="str">
        <x:f>IF(AND(A15&lt;&gt;"",OR(B15="A",B15="B",B15="C"),OR(C15="高钾",C15="铅钡"),OR(E15="风化",E15="无风化"),COUNTIF($A$2:$A$59,A15)=1),"通过","检查")</x:f>
        <x:v>通过</x:v>
      </x:c>
    </x:row>
    <x:row r="16">
      <x:c r="A16" s="32" t="str">
        <x:v>15</x:v>
      </x:c>
      <x:c r="B16" s="26" t="str">
        <x:v>C</x:v>
      </x:c>
      <x:c r="C16" s="26" t="str">
        <x:v>高钾</x:v>
      </x:c>
      <x:c r="D16" s="26" t="str">
        <x:v>浅蓝</x:v>
      </x:c>
      <x:c r="E16" s="26" t="str">
        <x:v>无风化</x:v>
      </x:c>
      <x:c r="F16" s="24" t="str">
        <x:f>IF(D16="","未知",D16)</x:f>
        <x:v>浅蓝</x:v>
      </x:c>
      <x:c r="G16" s="25" t="n">
        <x:f>IF(E16="风化",1,IF(E16="无风化",0,"检查"))</x:f>
        <x:v>0</x:v>
      </x:c>
      <x:c r="H16" s="25" t="n">
        <x:f>IF(D16="",1,0)</x:f>
        <x:v>0</x:v>
      </x:c>
      <x:c r="I16" s="24" t="str">
        <x:f>IF(AND(A16&lt;&gt;"",OR(B16="A",B16="B",B16="C"),OR(C16="高钾",C16="铅钡"),OR(E16="风化",E16="无风化"),COUNTIF($A$2:$A$59,A16)=1),"通过","检查")</x:f>
        <x:v>通过</x:v>
      </x:c>
    </x:row>
    <x:row r="17">
      <x:c r="A17" s="32" t="str">
        <x:v>16</x:v>
      </x:c>
      <x:c r="B17" s="26" t="str">
        <x:v>C</x:v>
      </x:c>
      <x:c r="C17" s="26" t="str">
        <x:v>高钾</x:v>
      </x:c>
      <x:c r="D17" s="26" t="str">
        <x:v>浅蓝</x:v>
      </x:c>
      <x:c r="E17" s="26" t="str">
        <x:v>无风化</x:v>
      </x:c>
      <x:c r="F17" s="24" t="str">
        <x:f>IF(D17="","未知",D17)</x:f>
        <x:v>浅蓝</x:v>
      </x:c>
      <x:c r="G17" s="25" t="n">
        <x:f>IF(E17="风化",1,IF(E17="无风化",0,"检查"))</x:f>
        <x:v>0</x:v>
      </x:c>
      <x:c r="H17" s="25" t="n">
        <x:f>IF(D17="",1,0)</x:f>
        <x:v>0</x:v>
      </x:c>
      <x:c r="I17" s="24" t="str">
        <x:f>IF(AND(A17&lt;&gt;"",OR(B17="A",B17="B",B17="C"),OR(C17="高钾",C17="铅钡"),OR(E17="风化",E17="无风化"),COUNTIF($A$2:$A$59,A17)=1),"通过","检查")</x:f>
        <x:v>通过</x:v>
      </x:c>
    </x:row>
    <x:row r="18">
      <x:c r="A18" s="32" t="str">
        <x:v>17</x:v>
      </x:c>
      <x:c r="B18" s="26" t="str">
        <x:v>C</x:v>
      </x:c>
      <x:c r="C18" s="26" t="str">
        <x:v>高钾</x:v>
      </x:c>
      <x:c r="D18" s="26" t="str">
        <x:v>浅蓝</x:v>
      </x:c>
      <x:c r="E18" s="26" t="str">
        <x:v>无风化</x:v>
      </x:c>
      <x:c r="F18" s="24" t="str">
        <x:f>IF(D18="","未知",D18)</x:f>
        <x:v>浅蓝</x:v>
      </x:c>
      <x:c r="G18" s="25" t="n">
        <x:f>IF(E18="风化",1,IF(E18="无风化",0,"检查"))</x:f>
        <x:v>0</x:v>
      </x:c>
      <x:c r="H18" s="25" t="n">
        <x:f>IF(D18="",1,0)</x:f>
        <x:v>0</x:v>
      </x:c>
      <x:c r="I18" s="24" t="str">
        <x:f>IF(AND(A18&lt;&gt;"",OR(B18="A",B18="B",B18="C"),OR(C18="高钾",C18="铅钡"),OR(E18="风化",E18="无风化"),COUNTIF($A$2:$A$59,A18)=1),"通过","检查")</x:f>
        <x:v>通过</x:v>
      </x:c>
    </x:row>
    <x:row r="19">
      <x:c r="A19" s="32" t="str">
        <x:v>18</x:v>
      </x:c>
      <x:c r="B19" s="26" t="str">
        <x:v>A</x:v>
      </x:c>
      <x:c r="C19" s="26" t="str">
        <x:v>高钾</x:v>
      </x:c>
      <x:c r="D19" s="26" t="str">
        <x:v>深蓝</x:v>
      </x:c>
      <x:c r="E19" s="26" t="str">
        <x:v>无风化</x:v>
      </x:c>
      <x:c r="F19" s="24" t="str">
        <x:f>IF(D19="","未知",D19)</x:f>
        <x:v>深蓝</x:v>
      </x:c>
      <x:c r="G19" s="25" t="n">
        <x:f>IF(E19="风化",1,IF(E19="无风化",0,"检查"))</x:f>
        <x:v>0</x:v>
      </x:c>
      <x:c r="H19" s="25" t="n">
        <x:f>IF(D19="",1,0)</x:f>
        <x:v>0</x:v>
      </x:c>
      <x:c r="I19" s="24" t="str">
        <x:f>IF(AND(A19&lt;&gt;"",OR(B19="A",B19="B",B19="C"),OR(C19="高钾",C19="铅钡"),OR(E19="风化",E19="无风化"),COUNTIF($A$2:$A$59,A19)=1),"通过","检查")</x:f>
        <x:v>通过</x:v>
      </x:c>
    </x:row>
    <x:row r="20">
      <x:c r="A20" s="32" t="str">
        <x:v>19</x:v>
      </x:c>
      <x:c r="B20" s="26" t="str">
        <x:v>A</x:v>
      </x:c>
      <x:c r="C20" s="26" t="str">
        <x:v>铅钡</x:v>
      </x:c>
      <x:c r="D20" s="26"/>
      <x:c r="E20" s="26" t="str">
        <x:v>风化</x:v>
      </x:c>
      <x:c r="F20" s="24" t="str">
        <x:f>IF(D20="","未知",D20)</x:f>
        <x:v>未知</x:v>
      </x:c>
      <x:c r="G20" s="25" t="n">
        <x:f>IF(E20="风化",1,IF(E20="无风化",0,"检查"))</x:f>
        <x:v>1</x:v>
      </x:c>
      <x:c r="H20" s="25" t="n">
        <x:f>IF(D20="",1,0)</x:f>
        <x:v>1</x:v>
      </x:c>
      <x:c r="I20" s="24" t="str">
        <x:f>IF(AND(A20&lt;&gt;"",OR(B20="A",B20="B",B20="C"),OR(C20="高钾",C20="铅钡"),OR(E20="风化",E20="无风化"),COUNTIF($A$2:$A$59,A20)=1),"通过","检查")</x:f>
        <x:v>通过</x:v>
      </x:c>
    </x:row>
    <x:row r="21">
      <x:c r="A21" s="32" t="str">
        <x:v>20</x:v>
      </x:c>
      <x:c r="B21" s="26" t="str">
        <x:v>A</x:v>
      </x:c>
      <x:c r="C21" s="26" t="str">
        <x:v>铅钡</x:v>
      </x:c>
      <x:c r="D21" s="26" t="str">
        <x:v>浅蓝</x:v>
      </x:c>
      <x:c r="E21" s="26" t="str">
        <x:v>无风化</x:v>
      </x:c>
      <x:c r="F21" s="24" t="str">
        <x:f>IF(D21="","未知",D21)</x:f>
        <x:v>浅蓝</x:v>
      </x:c>
      <x:c r="G21" s="25" t="n">
        <x:f>IF(E21="风化",1,IF(E21="无风化",0,"检查"))</x:f>
        <x:v>0</x:v>
      </x:c>
      <x:c r="H21" s="25" t="n">
        <x:f>IF(D21="",1,0)</x:f>
        <x:v>0</x:v>
      </x:c>
      <x:c r="I21" s="24" t="str">
        <x:f>IF(AND(A21&lt;&gt;"",OR(B21="A",B21="B",B21="C"),OR(C21="高钾",C21="铅钡"),OR(E21="风化",E21="无风化"),COUNTIF($A$2:$A$59,A21)=1),"通过","检查")</x:f>
        <x:v>通过</x:v>
      </x:c>
    </x:row>
    <x:row r="22">
      <x:c r="A22" s="32" t="str">
        <x:v>21</x:v>
      </x:c>
      <x:c r="B22" s="26" t="str">
        <x:v>A</x:v>
      </x:c>
      <x:c r="C22" s="26" t="str">
        <x:v>高钾</x:v>
      </x:c>
      <x:c r="D22" s="26" t="str">
        <x:v>蓝绿</x:v>
      </x:c>
      <x:c r="E22" s="26" t="str">
        <x:v>无风化</x:v>
      </x:c>
      <x:c r="F22" s="24" t="str">
        <x:f>IF(D22="","未知",D22)</x:f>
        <x:v>蓝绿</x:v>
      </x:c>
      <x:c r="G22" s="25" t="n">
        <x:f>IF(E22="风化",1,IF(E22="无风化",0,"检查"))</x:f>
        <x:v>0</x:v>
      </x:c>
      <x:c r="H22" s="25" t="n">
        <x:f>IF(D22="",1,0)</x:f>
        <x:v>0</x:v>
      </x:c>
      <x:c r="I22" s="24" t="str">
        <x:f>IF(AND(A22&lt;&gt;"",OR(B22="A",B22="B",B22="C"),OR(C22="高钾",C22="铅钡"),OR(E22="风化",E22="无风化"),COUNTIF($A$2:$A$59,A22)=1),"通过","检查")</x:f>
        <x:v>通过</x:v>
      </x:c>
    </x:row>
    <x:row r="23">
      <x:c r="A23" s="32" t="str">
        <x:v>22</x:v>
      </x:c>
      <x:c r="B23" s="26" t="str">
        <x:v>B</x:v>
      </x:c>
      <x:c r="C23" s="26" t="str">
        <x:v>高钾</x:v>
      </x:c>
      <x:c r="D23" s="26" t="str">
        <x:v>蓝绿</x:v>
      </x:c>
      <x:c r="E23" s="26" t="str">
        <x:v>风化</x:v>
      </x:c>
      <x:c r="F23" s="24" t="str">
        <x:f>IF(D23="","未知",D23)</x:f>
        <x:v>蓝绿</x:v>
      </x:c>
      <x:c r="G23" s="25" t="n">
        <x:f>IF(E23="风化",1,IF(E23="无风化",0,"检查"))</x:f>
        <x:v>1</x:v>
      </x:c>
      <x:c r="H23" s="25" t="n">
        <x:f>IF(D23="",1,0)</x:f>
        <x:v>0</x:v>
      </x:c>
      <x:c r="I23" s="24" t="str">
        <x:f>IF(AND(A23&lt;&gt;"",OR(B23="A",B23="B",B23="C"),OR(C23="高钾",C23="铅钡"),OR(E23="风化",E23="无风化"),COUNTIF($A$2:$A$59,A23)=1),"通过","检查")</x:f>
        <x:v>通过</x:v>
      </x:c>
    </x:row>
    <x:row r="24">
      <x:c r="A24" s="32" t="str">
        <x:v>23</x:v>
      </x:c>
      <x:c r="B24" s="26" t="str">
        <x:v>A</x:v>
      </x:c>
      <x:c r="C24" s="26" t="str">
        <x:v>铅钡</x:v>
      </x:c>
      <x:c r="D24" s="26" t="str">
        <x:v>蓝绿</x:v>
      </x:c>
      <x:c r="E24" s="26" t="str">
        <x:v>风化</x:v>
      </x:c>
      <x:c r="F24" s="24" t="str">
        <x:f>IF(D24="","未知",D24)</x:f>
        <x:v>蓝绿</x:v>
      </x:c>
      <x:c r="G24" s="25" t="n">
        <x:f>IF(E24="风化",1,IF(E24="无风化",0,"检查"))</x:f>
        <x:v>1</x:v>
      </x:c>
      <x:c r="H24" s="25" t="n">
        <x:f>IF(D24="",1,0)</x:f>
        <x:v>0</x:v>
      </x:c>
      <x:c r="I24" s="24" t="str">
        <x:f>IF(AND(A24&lt;&gt;"",OR(B24="A",B24="B",B24="C"),OR(C24="高钾",C24="铅钡"),OR(E24="风化",E24="无风化"),COUNTIF($A$2:$A$59,A24)=1),"通过","检查")</x:f>
        <x:v>通过</x:v>
      </x:c>
    </x:row>
    <x:row r="25">
      <x:c r="A25" s="32" t="str">
        <x:v>24</x:v>
      </x:c>
      <x:c r="B25" s="26" t="str">
        <x:v>C</x:v>
      </x:c>
      <x:c r="C25" s="26" t="str">
        <x:v>铅钡</x:v>
      </x:c>
      <x:c r="D25" s="26" t="str">
        <x:v>紫</x:v>
      </x:c>
      <x:c r="E25" s="26" t="str">
        <x:v>无风化</x:v>
      </x:c>
      <x:c r="F25" s="24" t="str">
        <x:f>IF(D25="","未知",D25)</x:f>
        <x:v>紫</x:v>
      </x:c>
      <x:c r="G25" s="25" t="n">
        <x:f>IF(E25="风化",1,IF(E25="无风化",0,"检查"))</x:f>
        <x:v>0</x:v>
      </x:c>
      <x:c r="H25" s="25" t="n">
        <x:f>IF(D25="",1,0)</x:f>
        <x:v>0</x:v>
      </x:c>
      <x:c r="I25" s="24" t="str">
        <x:f>IF(AND(A25&lt;&gt;"",OR(B25="A",B25="B",B25="C"),OR(C25="高钾",C25="铅钡"),OR(E25="风化",E25="无风化"),COUNTIF($A$2:$A$59,A25)=1),"通过","检查")</x:f>
        <x:v>通过</x:v>
      </x:c>
    </x:row>
    <x:row r="26">
      <x:c r="A26" s="32" t="str">
        <x:v>25</x:v>
      </x:c>
      <x:c r="B26" s="26" t="str">
        <x:v>C</x:v>
      </x:c>
      <x:c r="C26" s="26" t="str">
        <x:v>铅钡</x:v>
      </x:c>
      <x:c r="D26" s="26" t="str">
        <x:v>浅蓝</x:v>
      </x:c>
      <x:c r="E26" s="26" t="str">
        <x:v>风化</x:v>
      </x:c>
      <x:c r="F26" s="24" t="str">
        <x:f>IF(D26="","未知",D26)</x:f>
        <x:v>浅蓝</x:v>
      </x:c>
      <x:c r="G26" s="25" t="n">
        <x:f>IF(E26="风化",1,IF(E26="无风化",0,"检查"))</x:f>
        <x:v>1</x:v>
      </x:c>
      <x:c r="H26" s="25" t="n">
        <x:f>IF(D26="",1,0)</x:f>
        <x:v>0</x:v>
      </x:c>
      <x:c r="I26" s="24" t="str">
        <x:f>IF(AND(A26&lt;&gt;"",OR(B26="A",B26="B",B26="C"),OR(C26="高钾",C26="铅钡"),OR(E26="风化",E26="无风化"),COUNTIF($A$2:$A$59,A26)=1),"通过","检查")</x:f>
        <x:v>通过</x:v>
      </x:c>
    </x:row>
    <x:row r="27">
      <x:c r="A27" s="32" t="str">
        <x:v>26</x:v>
      </x:c>
      <x:c r="B27" s="26" t="str">
        <x:v>C</x:v>
      </x:c>
      <x:c r="C27" s="26" t="str">
        <x:v>铅钡</x:v>
      </x:c>
      <x:c r="D27" s="26" t="str">
        <x:v>紫</x:v>
      </x:c>
      <x:c r="E27" s="26" t="str">
        <x:v>风化</x:v>
      </x:c>
      <x:c r="F27" s="24" t="str">
        <x:f>IF(D27="","未知",D27)</x:f>
        <x:v>紫</x:v>
      </x:c>
      <x:c r="G27" s="25" t="n">
        <x:f>IF(E27="风化",1,IF(E27="无风化",0,"检查"))</x:f>
        <x:v>1</x:v>
      </x:c>
      <x:c r="H27" s="25" t="n">
        <x:f>IF(D27="",1,0)</x:f>
        <x:v>0</x:v>
      </x:c>
      <x:c r="I27" s="24" t="str">
        <x:f>IF(AND(A27&lt;&gt;"",OR(B27="A",B27="B",B27="C"),OR(C27="高钾",C27="铅钡"),OR(E27="风化",E27="无风化"),COUNTIF($A$2:$A$59,A27)=1),"通过","检查")</x:f>
        <x:v>通过</x:v>
      </x:c>
    </x:row>
    <x:row r="28">
      <x:c r="A28" s="32" t="str">
        <x:v>27</x:v>
      </x:c>
      <x:c r="B28" s="26" t="str">
        <x:v>B</x:v>
      </x:c>
      <x:c r="C28" s="26" t="str">
        <x:v>高钾</x:v>
      </x:c>
      <x:c r="D28" s="26" t="str">
        <x:v>蓝绿</x:v>
      </x:c>
      <x:c r="E28" s="26" t="str">
        <x:v>风化</x:v>
      </x:c>
      <x:c r="F28" s="24" t="str">
        <x:f>IF(D28="","未知",D28)</x:f>
        <x:v>蓝绿</x:v>
      </x:c>
      <x:c r="G28" s="25" t="n">
        <x:f>IF(E28="风化",1,IF(E28="无风化",0,"检查"))</x:f>
        <x:v>1</x:v>
      </x:c>
      <x:c r="H28" s="25" t="n">
        <x:f>IF(D28="",1,0)</x:f>
        <x:v>0</x:v>
      </x:c>
      <x:c r="I28" s="24" t="str">
        <x:f>IF(AND(A28&lt;&gt;"",OR(B28="A",B28="B",B28="C"),OR(C28="高钾",C28="铅钡"),OR(E28="风化",E28="无风化"),COUNTIF($A$2:$A$59,A28)=1),"通过","检查")</x:f>
        <x:v>通过</x:v>
      </x:c>
    </x:row>
    <x:row r="29">
      <x:c r="A29" s="32" t="str">
        <x:v>28</x:v>
      </x:c>
      <x:c r="B29" s="26" t="str">
        <x:v>A</x:v>
      </x:c>
      <x:c r="C29" s="26" t="str">
        <x:v>铅钡</x:v>
      </x:c>
      <x:c r="D29" s="26" t="str">
        <x:v>浅蓝</x:v>
      </x:c>
      <x:c r="E29" s="26" t="str">
        <x:v>风化</x:v>
      </x:c>
      <x:c r="F29" s="24" t="str">
        <x:f>IF(D29="","未知",D29)</x:f>
        <x:v>浅蓝</x:v>
      </x:c>
      <x:c r="G29" s="25" t="n">
        <x:f>IF(E29="风化",1,IF(E29="无风化",0,"检查"))</x:f>
        <x:v>1</x:v>
      </x:c>
      <x:c r="H29" s="25" t="n">
        <x:f>IF(D29="",1,0)</x:f>
        <x:v>0</x:v>
      </x:c>
      <x:c r="I29" s="24" t="str">
        <x:f>IF(AND(A29&lt;&gt;"",OR(B29="A",B29="B",B29="C"),OR(C29="高钾",C29="铅钡"),OR(E29="风化",E29="无风化"),COUNTIF($A$2:$A$59,A29)=1),"通过","检查")</x:f>
        <x:v>通过</x:v>
      </x:c>
    </x:row>
    <x:row r="30">
      <x:c r="A30" s="32" t="str">
        <x:v>29</x:v>
      </x:c>
      <x:c r="B30" s="26" t="str">
        <x:v>A</x:v>
      </x:c>
      <x:c r="C30" s="26" t="str">
        <x:v>铅钡</x:v>
      </x:c>
      <x:c r="D30" s="26" t="str">
        <x:v>浅蓝</x:v>
      </x:c>
      <x:c r="E30" s="26" t="str">
        <x:v>风化</x:v>
      </x:c>
      <x:c r="F30" s="24" t="str">
        <x:f>IF(D30="","未知",D30)</x:f>
        <x:v>浅蓝</x:v>
      </x:c>
      <x:c r="G30" s="25" t="n">
        <x:f>IF(E30="风化",1,IF(E30="无风化",0,"检查"))</x:f>
        <x:v>1</x:v>
      </x:c>
      <x:c r="H30" s="25" t="n">
        <x:f>IF(D30="",1,0)</x:f>
        <x:v>0</x:v>
      </x:c>
      <x:c r="I30" s="24" t="str">
        <x:f>IF(AND(A30&lt;&gt;"",OR(B30="A",B30="B",B30="C"),OR(C30="高钾",C30="铅钡"),OR(E30="风化",E30="无风化"),COUNTIF($A$2:$A$59,A30)=1),"通过","检查")</x:f>
        <x:v>通过</x:v>
      </x:c>
    </x:row>
    <x:row r="31">
      <x:c r="A31" s="32" t="str">
        <x:v>30</x:v>
      </x:c>
      <x:c r="B31" s="26" t="str">
        <x:v>A</x:v>
      </x:c>
      <x:c r="C31" s="26" t="str">
        <x:v>铅钡</x:v>
      </x:c>
      <x:c r="D31" s="26" t="str">
        <x:v>深蓝</x:v>
      </x:c>
      <x:c r="E31" s="26" t="str">
        <x:v>无风化</x:v>
      </x:c>
      <x:c r="F31" s="24" t="str">
        <x:f>IF(D31="","未知",D31)</x:f>
        <x:v>深蓝</x:v>
      </x:c>
      <x:c r="G31" s="25" t="n">
        <x:f>IF(E31="风化",1,IF(E31="无风化",0,"检查"))</x:f>
        <x:v>0</x:v>
      </x:c>
      <x:c r="H31" s="25" t="n">
        <x:f>IF(D31="",1,0)</x:f>
        <x:v>0</x:v>
      </x:c>
      <x:c r="I31" s="24" t="str">
        <x:f>IF(AND(A31&lt;&gt;"",OR(B31="A",B31="B",B31="C"),OR(C31="高钾",C31="铅钡"),OR(E31="风化",E31="无风化"),COUNTIF($A$2:$A$59,A31)=1),"通过","检查")</x:f>
        <x:v>通过</x:v>
      </x:c>
    </x:row>
    <x:row r="32">
      <x:c r="A32" s="32" t="str">
        <x:v>31</x:v>
      </x:c>
      <x:c r="B32" s="26" t="str">
        <x:v>C</x:v>
      </x:c>
      <x:c r="C32" s="26" t="str">
        <x:v>铅钡</x:v>
      </x:c>
      <x:c r="D32" s="26" t="str">
        <x:v>紫</x:v>
      </x:c>
      <x:c r="E32" s="26" t="str">
        <x:v>无风化</x:v>
      </x:c>
      <x:c r="F32" s="24" t="str">
        <x:f>IF(D32="","未知",D32)</x:f>
        <x:v>紫</x:v>
      </x:c>
      <x:c r="G32" s="25" t="n">
        <x:f>IF(E32="风化",1,IF(E32="无风化",0,"检查"))</x:f>
        <x:v>0</x:v>
      </x:c>
      <x:c r="H32" s="25" t="n">
        <x:f>IF(D32="",1,0)</x:f>
        <x:v>0</x:v>
      </x:c>
      <x:c r="I32" s="24" t="str">
        <x:f>IF(AND(A32&lt;&gt;"",OR(B32="A",B32="B",B32="C"),OR(C32="高钾",C32="铅钡"),OR(E32="风化",E32="无风化"),COUNTIF($A$2:$A$59,A32)=1),"通过","检查")</x:f>
        <x:v>通过</x:v>
      </x:c>
    </x:row>
    <x:row r="33">
      <x:c r="A33" s="32" t="str">
        <x:v>32</x:v>
      </x:c>
      <x:c r="B33" s="26" t="str">
        <x:v>C</x:v>
      </x:c>
      <x:c r="C33" s="26" t="str">
        <x:v>铅钡</x:v>
      </x:c>
      <x:c r="D33" s="26" t="str">
        <x:v>浅绿</x:v>
      </x:c>
      <x:c r="E33" s="26" t="str">
        <x:v>无风化</x:v>
      </x:c>
      <x:c r="F33" s="24" t="str">
        <x:f>IF(D33="","未知",D33)</x:f>
        <x:v>浅绿</x:v>
      </x:c>
      <x:c r="G33" s="25" t="n">
        <x:f>IF(E33="风化",1,IF(E33="无风化",0,"检查"))</x:f>
        <x:v>0</x:v>
      </x:c>
      <x:c r="H33" s="25" t="n">
        <x:f>IF(D33="",1,0)</x:f>
        <x:v>0</x:v>
      </x:c>
      <x:c r="I33" s="24" t="str">
        <x:f>IF(AND(A33&lt;&gt;"",OR(B33="A",B33="B",B33="C"),OR(C33="高钾",C33="铅钡"),OR(E33="风化",E33="无风化"),COUNTIF($A$2:$A$59,A33)=1),"通过","检查")</x:f>
        <x:v>通过</x:v>
      </x:c>
    </x:row>
    <x:row r="34">
      <x:c r="A34" s="32" t="str">
        <x:v>33</x:v>
      </x:c>
      <x:c r="B34" s="26" t="str">
        <x:v>C</x:v>
      </x:c>
      <x:c r="C34" s="26" t="str">
        <x:v>铅钡</x:v>
      </x:c>
      <x:c r="D34" s="26" t="str">
        <x:v>深绿</x:v>
      </x:c>
      <x:c r="E34" s="26" t="str">
        <x:v>无风化</x:v>
      </x:c>
      <x:c r="F34" s="24" t="str">
        <x:f>IF(D34="","未知",D34)</x:f>
        <x:v>深绿</x:v>
      </x:c>
      <x:c r="G34" s="25" t="n">
        <x:f>IF(E34="风化",1,IF(E34="无风化",0,"检查"))</x:f>
        <x:v>0</x:v>
      </x:c>
      <x:c r="H34" s="25" t="n">
        <x:f>IF(D34="",1,0)</x:f>
        <x:v>0</x:v>
      </x:c>
      <x:c r="I34" s="24" t="str">
        <x:f>IF(AND(A34&lt;&gt;"",OR(B34="A",B34="B",B34="C"),OR(C34="高钾",C34="铅钡"),OR(E34="风化",E34="无风化"),COUNTIF($A$2:$A$59,A34)=1),"通过","检查")</x:f>
        <x:v>通过</x:v>
      </x:c>
    </x:row>
    <x:row r="35">
      <x:c r="A35" s="32" t="str">
        <x:v>34</x:v>
      </x:c>
      <x:c r="B35" s="26" t="str">
        <x:v>C</x:v>
      </x:c>
      <x:c r="C35" s="26" t="str">
        <x:v>铅钡</x:v>
      </x:c>
      <x:c r="D35" s="26" t="str">
        <x:v>深绿</x:v>
      </x:c>
      <x:c r="E35" s="26" t="str">
        <x:v>风化</x:v>
      </x:c>
      <x:c r="F35" s="24" t="str">
        <x:f>IF(D35="","未知",D35)</x:f>
        <x:v>深绿</x:v>
      </x:c>
      <x:c r="G35" s="25" t="n">
        <x:f>IF(E35="风化",1,IF(E35="无风化",0,"检查"))</x:f>
        <x:v>1</x:v>
      </x:c>
      <x:c r="H35" s="25" t="n">
        <x:f>IF(D35="",1,0)</x:f>
        <x:v>0</x:v>
      </x:c>
      <x:c r="I35" s="24" t="str">
        <x:f>IF(AND(A35&lt;&gt;"",OR(B35="A",B35="B",B35="C"),OR(C35="高钾",C35="铅钡"),OR(E35="风化",E35="无风化"),COUNTIF($A$2:$A$59,A35)=1),"通过","检查")</x:f>
        <x:v>通过</x:v>
      </x:c>
    </x:row>
    <x:row r="36">
      <x:c r="A36" s="32" t="str">
        <x:v>35</x:v>
      </x:c>
      <x:c r="B36" s="26" t="str">
        <x:v>C</x:v>
      </x:c>
      <x:c r="C36" s="26" t="str">
        <x:v>铅钡</x:v>
      </x:c>
      <x:c r="D36" s="26" t="str">
        <x:v>浅绿</x:v>
      </x:c>
      <x:c r="E36" s="26" t="str">
        <x:v>无风化</x:v>
      </x:c>
      <x:c r="F36" s="24" t="str">
        <x:f>IF(D36="","未知",D36)</x:f>
        <x:v>浅绿</x:v>
      </x:c>
      <x:c r="G36" s="25" t="n">
        <x:f>IF(E36="风化",1,IF(E36="无风化",0,"检查"))</x:f>
        <x:v>0</x:v>
      </x:c>
      <x:c r="H36" s="25" t="n">
        <x:f>IF(D36="",1,0)</x:f>
        <x:v>0</x:v>
      </x:c>
      <x:c r="I36" s="24" t="str">
        <x:f>IF(AND(A36&lt;&gt;"",OR(B36="A",B36="B",B36="C"),OR(C36="高钾",C36="铅钡"),OR(E36="风化",E36="无风化"),COUNTIF($A$2:$A$59,A36)=1),"通过","检查")</x:f>
        <x:v>通过</x:v>
      </x:c>
    </x:row>
    <x:row r="37">
      <x:c r="A37" s="32" t="str">
        <x:v>36</x:v>
      </x:c>
      <x:c r="B37" s="26" t="str">
        <x:v>C</x:v>
      </x:c>
      <x:c r="C37" s="26" t="str">
        <x:v>铅钡</x:v>
      </x:c>
      <x:c r="D37" s="26" t="str">
        <x:v>深绿</x:v>
      </x:c>
      <x:c r="E37" s="26" t="str">
        <x:v>风化</x:v>
      </x:c>
      <x:c r="F37" s="24" t="str">
        <x:f>IF(D37="","未知",D37)</x:f>
        <x:v>深绿</x:v>
      </x:c>
      <x:c r="G37" s="25" t="n">
        <x:f>IF(E37="风化",1,IF(E37="无风化",0,"检查"))</x:f>
        <x:v>1</x:v>
      </x:c>
      <x:c r="H37" s="25" t="n">
        <x:f>IF(D37="",1,0)</x:f>
        <x:v>0</x:v>
      </x:c>
      <x:c r="I37" s="24" t="str">
        <x:f>IF(AND(A37&lt;&gt;"",OR(B37="A",B37="B",B37="C"),OR(C37="高钾",C37="铅钡"),OR(E37="风化",E37="无风化"),COUNTIF($A$2:$A$59,A37)=1),"通过","检查")</x:f>
        <x:v>通过</x:v>
      </x:c>
    </x:row>
    <x:row r="38">
      <x:c r="A38" s="32" t="str">
        <x:v>37</x:v>
      </x:c>
      <x:c r="B38" s="26" t="str">
        <x:v>C</x:v>
      </x:c>
      <x:c r="C38" s="26" t="str">
        <x:v>铅钡</x:v>
      </x:c>
      <x:c r="D38" s="26" t="str">
        <x:v>深绿</x:v>
      </x:c>
      <x:c r="E38" s="26" t="str">
        <x:v>无风化</x:v>
      </x:c>
      <x:c r="F38" s="24" t="str">
        <x:f>IF(D38="","未知",D38)</x:f>
        <x:v>深绿</x:v>
      </x:c>
      <x:c r="G38" s="25" t="n">
        <x:f>IF(E38="风化",1,IF(E38="无风化",0,"检查"))</x:f>
        <x:v>0</x:v>
      </x:c>
      <x:c r="H38" s="25" t="n">
        <x:f>IF(D38="",1,0)</x:f>
        <x:v>0</x:v>
      </x:c>
      <x:c r="I38" s="24" t="str">
        <x:f>IF(AND(A38&lt;&gt;"",OR(B38="A",B38="B",B38="C"),OR(C38="高钾",C38="铅钡"),OR(E38="风化",E38="无风化"),COUNTIF($A$2:$A$59,A38)=1),"通过","检查")</x:f>
        <x:v>通过</x:v>
      </x:c>
    </x:row>
    <x:row r="39">
      <x:c r="A39" s="32" t="str">
        <x:v>38</x:v>
      </x:c>
      <x:c r="B39" s="26" t="str">
        <x:v>C</x:v>
      </x:c>
      <x:c r="C39" s="26" t="str">
        <x:v>铅钡</x:v>
      </x:c>
      <x:c r="D39" s="26" t="str">
        <x:v>深绿</x:v>
      </x:c>
      <x:c r="E39" s="26" t="str">
        <x:v>风化</x:v>
      </x:c>
      <x:c r="F39" s="24" t="str">
        <x:f>IF(D39="","未知",D39)</x:f>
        <x:v>深绿</x:v>
      </x:c>
      <x:c r="G39" s="25" t="n">
        <x:f>IF(E39="风化",1,IF(E39="无风化",0,"检查"))</x:f>
        <x:v>1</x:v>
      </x:c>
      <x:c r="H39" s="25" t="n">
        <x:f>IF(D39="",1,0)</x:f>
        <x:v>0</x:v>
      </x:c>
      <x:c r="I39" s="24" t="str">
        <x:f>IF(AND(A39&lt;&gt;"",OR(B39="A",B39="B",B39="C"),OR(C39="高钾",C39="铅钡"),OR(E39="风化",E39="无风化"),COUNTIF($A$2:$A$59,A39)=1),"通过","检查")</x:f>
        <x:v>通过</x:v>
      </x:c>
    </x:row>
    <x:row r="40">
      <x:c r="A40" s="32" t="str">
        <x:v>39</x:v>
      </x:c>
      <x:c r="B40" s="26" t="str">
        <x:v>C</x:v>
      </x:c>
      <x:c r="C40" s="26" t="str">
        <x:v>铅钡</x:v>
      </x:c>
      <x:c r="D40" s="26" t="str">
        <x:v>深绿</x:v>
      </x:c>
      <x:c r="E40" s="26" t="str">
        <x:v>风化</x:v>
      </x:c>
      <x:c r="F40" s="24" t="str">
        <x:f>IF(D40="","未知",D40)</x:f>
        <x:v>深绿</x:v>
      </x:c>
      <x:c r="G40" s="25" t="n">
        <x:f>IF(E40="风化",1,IF(E40="无风化",0,"检查"))</x:f>
        <x:v>1</x:v>
      </x:c>
      <x:c r="H40" s="25" t="n">
        <x:f>IF(D40="",1,0)</x:f>
        <x:v>0</x:v>
      </x:c>
      <x:c r="I40" s="24" t="str">
        <x:f>IF(AND(A40&lt;&gt;"",OR(B40="A",B40="B",B40="C"),OR(C40="高钾",C40="铅钡"),OR(E40="风化",E40="无风化"),COUNTIF($A$2:$A$59,A40)=1),"通过","检查")</x:f>
        <x:v>通过</x:v>
      </x:c>
    </x:row>
    <x:row r="41">
      <x:c r="A41" s="32" t="str">
        <x:v>40</x:v>
      </x:c>
      <x:c r="B41" s="26" t="str">
        <x:v>C</x:v>
      </x:c>
      <x:c r="C41" s="26" t="str">
        <x:v>铅钡</x:v>
      </x:c>
      <x:c r="D41" s="26"/>
      <x:c r="E41" s="26" t="str">
        <x:v>风化</x:v>
      </x:c>
      <x:c r="F41" s="24" t="str">
        <x:f>IF(D41="","未知",D41)</x:f>
        <x:v>未知</x:v>
      </x:c>
      <x:c r="G41" s="25" t="n">
        <x:f>IF(E41="风化",1,IF(E41="无风化",0,"检查"))</x:f>
        <x:v>1</x:v>
      </x:c>
      <x:c r="H41" s="25" t="n">
        <x:f>IF(D41="",1,0)</x:f>
        <x:v>1</x:v>
      </x:c>
      <x:c r="I41" s="24" t="str">
        <x:f>IF(AND(A41&lt;&gt;"",OR(B41="A",B41="B",B41="C"),OR(C41="高钾",C41="铅钡"),OR(E41="风化",E41="无风化"),COUNTIF($A$2:$A$59,A41)=1),"通过","检查")</x:f>
        <x:v>通过</x:v>
      </x:c>
    </x:row>
    <x:row r="42">
      <x:c r="A42" s="32" t="str">
        <x:v>41</x:v>
      </x:c>
      <x:c r="B42" s="26" t="str">
        <x:v>C</x:v>
      </x:c>
      <x:c r="C42" s="26" t="str">
        <x:v>铅钡</x:v>
      </x:c>
      <x:c r="D42" s="26" t="str">
        <x:v>浅绿</x:v>
      </x:c>
      <x:c r="E42" s="26" t="str">
        <x:v>风化</x:v>
      </x:c>
      <x:c r="F42" s="24" t="str">
        <x:f>IF(D42="","未知",D42)</x:f>
        <x:v>浅绿</x:v>
      </x:c>
      <x:c r="G42" s="25" t="n">
        <x:f>IF(E42="风化",1,IF(E42="无风化",0,"检查"))</x:f>
        <x:v>1</x:v>
      </x:c>
      <x:c r="H42" s="25" t="n">
        <x:f>IF(D42="",1,0)</x:f>
        <x:v>0</x:v>
      </x:c>
      <x:c r="I42" s="24" t="str">
        <x:f>IF(AND(A42&lt;&gt;"",OR(B42="A",B42="B",B42="C"),OR(C42="高钾",C42="铅钡"),OR(E42="风化",E42="无风化"),COUNTIF($A$2:$A$59,A42)=1),"通过","检查")</x:f>
        <x:v>通过</x:v>
      </x:c>
    </x:row>
    <x:row r="43">
      <x:c r="A43" s="32" t="str">
        <x:v>42</x:v>
      </x:c>
      <x:c r="B43" s="26" t="str">
        <x:v>A</x:v>
      </x:c>
      <x:c r="C43" s="26" t="str">
        <x:v>铅钡</x:v>
      </x:c>
      <x:c r="D43" s="26" t="str">
        <x:v>浅蓝</x:v>
      </x:c>
      <x:c r="E43" s="26" t="str">
        <x:v>风化</x:v>
      </x:c>
      <x:c r="F43" s="24" t="str">
        <x:f>IF(D43="","未知",D43)</x:f>
        <x:v>浅蓝</x:v>
      </x:c>
      <x:c r="G43" s="25" t="n">
        <x:f>IF(E43="风化",1,IF(E43="无风化",0,"检查"))</x:f>
        <x:v>1</x:v>
      </x:c>
      <x:c r="H43" s="25" t="n">
        <x:f>IF(D43="",1,0)</x:f>
        <x:v>0</x:v>
      </x:c>
      <x:c r="I43" s="24" t="str">
        <x:f>IF(AND(A43&lt;&gt;"",OR(B43="A",B43="B",B43="C"),OR(C43="高钾",C43="铅钡"),OR(E43="风化",E43="无风化"),COUNTIF($A$2:$A$59,A43)=1),"通过","检查")</x:f>
        <x:v>通过</x:v>
      </x:c>
    </x:row>
    <x:row r="44">
      <x:c r="A44" s="32" t="str">
        <x:v>43</x:v>
      </x:c>
      <x:c r="B44" s="26" t="str">
        <x:v>C</x:v>
      </x:c>
      <x:c r="C44" s="26" t="str">
        <x:v>铅钡</x:v>
      </x:c>
      <x:c r="D44" s="26" t="str">
        <x:v>浅蓝</x:v>
      </x:c>
      <x:c r="E44" s="26" t="str">
        <x:v>风化</x:v>
      </x:c>
      <x:c r="F44" s="24" t="str">
        <x:f>IF(D44="","未知",D44)</x:f>
        <x:v>浅蓝</x:v>
      </x:c>
      <x:c r="G44" s="25" t="n">
        <x:f>IF(E44="风化",1,IF(E44="无风化",0,"检查"))</x:f>
        <x:v>1</x:v>
      </x:c>
      <x:c r="H44" s="25" t="n">
        <x:f>IF(D44="",1,0)</x:f>
        <x:v>0</x:v>
      </x:c>
      <x:c r="I44" s="24" t="str">
        <x:f>IF(AND(A44&lt;&gt;"",OR(B44="A",B44="B",B44="C"),OR(C44="高钾",C44="铅钡"),OR(E44="风化",E44="无风化"),COUNTIF($A$2:$A$59,A44)=1),"通过","检查")</x:f>
        <x:v>通过</x:v>
      </x:c>
    </x:row>
    <x:row r="45">
      <x:c r="A45" s="32" t="str">
        <x:v>44</x:v>
      </x:c>
      <x:c r="B45" s="26" t="str">
        <x:v>A</x:v>
      </x:c>
      <x:c r="C45" s="26" t="str">
        <x:v>铅钡</x:v>
      </x:c>
      <x:c r="D45" s="26" t="str">
        <x:v>浅蓝</x:v>
      </x:c>
      <x:c r="E45" s="26" t="str">
        <x:v>风化</x:v>
      </x:c>
      <x:c r="F45" s="24" t="str">
        <x:f>IF(D45="","未知",D45)</x:f>
        <x:v>浅蓝</x:v>
      </x:c>
      <x:c r="G45" s="25" t="n">
        <x:f>IF(E45="风化",1,IF(E45="无风化",0,"检查"))</x:f>
        <x:v>1</x:v>
      </x:c>
      <x:c r="H45" s="25" t="n">
        <x:f>IF(D45="",1,0)</x:f>
        <x:v>0</x:v>
      </x:c>
      <x:c r="I45" s="24" t="str">
        <x:f>IF(AND(A45&lt;&gt;"",OR(B45="A",B45="B",B45="C"),OR(C45="高钾",C45="铅钡"),OR(E45="风化",E45="无风化"),COUNTIF($A$2:$A$59,A45)=1),"通过","检查")</x:f>
        <x:v>通过</x:v>
      </x:c>
    </x:row>
    <x:row r="46">
      <x:c r="A46" s="32" t="str">
        <x:v>45</x:v>
      </x:c>
      <x:c r="B46" s="26" t="str">
        <x:v>A</x:v>
      </x:c>
      <x:c r="C46" s="26" t="str">
        <x:v>铅钡</x:v>
      </x:c>
      <x:c r="D46" s="26" t="str">
        <x:v>浅蓝</x:v>
      </x:c>
      <x:c r="E46" s="26" t="str">
        <x:v>无风化</x:v>
      </x:c>
      <x:c r="F46" s="24" t="str">
        <x:f>IF(D46="","未知",D46)</x:f>
        <x:v>浅蓝</x:v>
      </x:c>
      <x:c r="G46" s="25" t="n">
        <x:f>IF(E46="风化",1,IF(E46="无风化",0,"检查"))</x:f>
        <x:v>0</x:v>
      </x:c>
      <x:c r="H46" s="25" t="n">
        <x:f>IF(D46="",1,0)</x:f>
        <x:v>0</x:v>
      </x:c>
      <x:c r="I46" s="24" t="str">
        <x:f>IF(AND(A46&lt;&gt;"",OR(B46="A",B46="B",B46="C"),OR(C46="高钾",C46="铅钡"),OR(E46="风化",E46="无风化"),COUNTIF($A$2:$A$59,A46)=1),"通过","检查")</x:f>
        <x:v>通过</x:v>
      </x:c>
    </x:row>
    <x:row r="47">
      <x:c r="A47" s="32" t="str">
        <x:v>46</x:v>
      </x:c>
      <x:c r="B47" s="26" t="str">
        <x:v>A</x:v>
      </x:c>
      <x:c r="C47" s="26" t="str">
        <x:v>铅钡</x:v>
      </x:c>
      <x:c r="D47" s="26" t="str">
        <x:v>浅蓝</x:v>
      </x:c>
      <x:c r="E47" s="26" t="str">
        <x:v>无风化</x:v>
      </x:c>
      <x:c r="F47" s="24" t="str">
        <x:f>IF(D47="","未知",D47)</x:f>
        <x:v>浅蓝</x:v>
      </x:c>
      <x:c r="G47" s="25" t="n">
        <x:f>IF(E47="风化",1,IF(E47="无风化",0,"检查"))</x:f>
        <x:v>0</x:v>
      </x:c>
      <x:c r="H47" s="25" t="n">
        <x:f>IF(D47="",1,0)</x:f>
        <x:v>0</x:v>
      </x:c>
      <x:c r="I47" s="24" t="str">
        <x:f>IF(AND(A47&lt;&gt;"",OR(B47="A",B47="B",B47="C"),OR(C47="高钾",C47="铅钡"),OR(E47="风化",E47="无风化"),COUNTIF($A$2:$A$59,A47)=1),"通过","检查")</x:f>
        <x:v>通过</x:v>
      </x:c>
    </x:row>
    <x:row r="48">
      <x:c r="A48" s="32" t="str">
        <x:v>47</x:v>
      </x:c>
      <x:c r="B48" s="26" t="str">
        <x:v>A</x:v>
      </x:c>
      <x:c r="C48" s="26" t="str">
        <x:v>铅钡</x:v>
      </x:c>
      <x:c r="D48" s="26" t="str">
        <x:v>浅蓝</x:v>
      </x:c>
      <x:c r="E48" s="26" t="str">
        <x:v>无风化</x:v>
      </x:c>
      <x:c r="F48" s="24" t="str">
        <x:f>IF(D48="","未知",D48)</x:f>
        <x:v>浅蓝</x:v>
      </x:c>
      <x:c r="G48" s="25" t="n">
        <x:f>IF(E48="风化",1,IF(E48="无风化",0,"检查"))</x:f>
        <x:v>0</x:v>
      </x:c>
      <x:c r="H48" s="25" t="n">
        <x:f>IF(D48="",1,0)</x:f>
        <x:v>0</x:v>
      </x:c>
      <x:c r="I48" s="24" t="str">
        <x:f>IF(AND(A48&lt;&gt;"",OR(B48="A",B48="B",B48="C"),OR(C48="高钾",C48="铅钡"),OR(E48="风化",E48="无风化"),COUNTIF($A$2:$A$59,A48)=1),"通过","检查")</x:f>
        <x:v>通过</x:v>
      </x:c>
    </x:row>
    <x:row r="49">
      <x:c r="A49" s="32" t="str">
        <x:v>48</x:v>
      </x:c>
      <x:c r="B49" s="26" t="str">
        <x:v>A</x:v>
      </x:c>
      <x:c r="C49" s="26" t="str">
        <x:v>铅钡</x:v>
      </x:c>
      <x:c r="D49" s="26"/>
      <x:c r="E49" s="26" t="str">
        <x:v>风化</x:v>
      </x:c>
      <x:c r="F49" s="24" t="str">
        <x:f>IF(D49="","未知",D49)</x:f>
        <x:v>未知</x:v>
      </x:c>
      <x:c r="G49" s="25" t="n">
        <x:f>IF(E49="风化",1,IF(E49="无风化",0,"检查"))</x:f>
        <x:v>1</x:v>
      </x:c>
      <x:c r="H49" s="25" t="n">
        <x:f>IF(D49="",1,0)</x:f>
        <x:v>1</x:v>
      </x:c>
      <x:c r="I49" s="24" t="str">
        <x:f>IF(AND(A49&lt;&gt;"",OR(B49="A",B49="B",B49="C"),OR(C49="高钾",C49="铅钡"),OR(E49="风化",E49="无风化"),COUNTIF($A$2:$A$59,A49)=1),"通过","检查")</x:f>
        <x:v>通过</x:v>
      </x:c>
    </x:row>
    <x:row r="50">
      <x:c r="A50" s="32" t="str">
        <x:v>49</x:v>
      </x:c>
      <x:c r="B50" s="26" t="str">
        <x:v>A</x:v>
      </x:c>
      <x:c r="C50" s="26" t="str">
        <x:v>铅钡</x:v>
      </x:c>
      <x:c r="D50" s="26" t="str">
        <x:v>黑</x:v>
      </x:c>
      <x:c r="E50" s="26" t="str">
        <x:v>风化</x:v>
      </x:c>
      <x:c r="F50" s="24" t="str">
        <x:f>IF(D50="","未知",D50)</x:f>
        <x:v>黑</x:v>
      </x:c>
      <x:c r="G50" s="25" t="n">
        <x:f>IF(E50="风化",1,IF(E50="无风化",0,"检查"))</x:f>
        <x:v>1</x:v>
      </x:c>
      <x:c r="H50" s="25" t="n">
        <x:f>IF(D50="",1,0)</x:f>
        <x:v>0</x:v>
      </x:c>
      <x:c r="I50" s="24" t="str">
        <x:f>IF(AND(A50&lt;&gt;"",OR(B50="A",B50="B",B50="C"),OR(C50="高钾",C50="铅钡"),OR(E50="风化",E50="无风化"),COUNTIF($A$2:$A$59,A50)=1),"通过","检查")</x:f>
        <x:v>通过</x:v>
      </x:c>
    </x:row>
    <x:row r="51">
      <x:c r="A51" s="32" t="str">
        <x:v>50</x:v>
      </x:c>
      <x:c r="B51" s="26" t="str">
        <x:v>A</x:v>
      </x:c>
      <x:c r="C51" s="26" t="str">
        <x:v>铅钡</x:v>
      </x:c>
      <x:c r="D51" s="26" t="str">
        <x:v>黑</x:v>
      </x:c>
      <x:c r="E51" s="26" t="str">
        <x:v>风化</x:v>
      </x:c>
      <x:c r="F51" s="24" t="str">
        <x:f>IF(D51="","未知",D51)</x:f>
        <x:v>黑</x:v>
      </x:c>
      <x:c r="G51" s="25" t="n">
        <x:f>IF(E51="风化",1,IF(E51="无风化",0,"检查"))</x:f>
        <x:v>1</x:v>
      </x:c>
      <x:c r="H51" s="25" t="n">
        <x:f>IF(D51="",1,0)</x:f>
        <x:v>0</x:v>
      </x:c>
      <x:c r="I51" s="24" t="str">
        <x:f>IF(AND(A51&lt;&gt;"",OR(B51="A",B51="B",B51="C"),OR(C51="高钾",C51="铅钡"),OR(E51="风化",E51="无风化"),COUNTIF($A$2:$A$59,A51)=1),"通过","检查")</x:f>
        <x:v>通过</x:v>
      </x:c>
    </x:row>
    <x:row r="52">
      <x:c r="A52" s="32" t="str">
        <x:v>51</x:v>
      </x:c>
      <x:c r="B52" s="26" t="str">
        <x:v>C</x:v>
      </x:c>
      <x:c r="C52" s="26" t="str">
        <x:v>铅钡</x:v>
      </x:c>
      <x:c r="D52" s="26" t="str">
        <x:v>浅蓝</x:v>
      </x:c>
      <x:c r="E52" s="26" t="str">
        <x:v>风化</x:v>
      </x:c>
      <x:c r="F52" s="24" t="str">
        <x:f>IF(D52="","未知",D52)</x:f>
        <x:v>浅蓝</x:v>
      </x:c>
      <x:c r="G52" s="25" t="n">
        <x:f>IF(E52="风化",1,IF(E52="无风化",0,"检查"))</x:f>
        <x:v>1</x:v>
      </x:c>
      <x:c r="H52" s="25" t="n">
        <x:f>IF(D52="",1,0)</x:f>
        <x:v>0</x:v>
      </x:c>
      <x:c r="I52" s="24" t="str">
        <x:f>IF(AND(A52&lt;&gt;"",OR(B52="A",B52="B",B52="C"),OR(C52="高钾",C52="铅钡"),OR(E52="风化",E52="无风化"),COUNTIF($A$2:$A$59,A52)=1),"通过","检查")</x:f>
        <x:v>通过</x:v>
      </x:c>
    </x:row>
    <x:row r="53">
      <x:c r="A53" s="32" t="str">
        <x:v>52</x:v>
      </x:c>
      <x:c r="B53" s="26" t="str">
        <x:v>C</x:v>
      </x:c>
      <x:c r="C53" s="26" t="str">
        <x:v>铅钡</x:v>
      </x:c>
      <x:c r="D53" s="26" t="str">
        <x:v>浅蓝</x:v>
      </x:c>
      <x:c r="E53" s="26" t="str">
        <x:v>风化</x:v>
      </x:c>
      <x:c r="F53" s="24" t="str">
        <x:f>IF(D53="","未知",D53)</x:f>
        <x:v>浅蓝</x:v>
      </x:c>
      <x:c r="G53" s="25" t="n">
        <x:f>IF(E53="风化",1,IF(E53="无风化",0,"检查"))</x:f>
        <x:v>1</x:v>
      </x:c>
      <x:c r="H53" s="25" t="n">
        <x:f>IF(D53="",1,0)</x:f>
        <x:v>0</x:v>
      </x:c>
      <x:c r="I53" s="24" t="str">
        <x:f>IF(AND(A53&lt;&gt;"",OR(B53="A",B53="B",B53="C"),OR(C53="高钾",C53="铅钡"),OR(E53="风化",E53="无风化"),COUNTIF($A$2:$A$59,A53)=1),"通过","检查")</x:f>
        <x:v>通过</x:v>
      </x:c>
    </x:row>
    <x:row r="54">
      <x:c r="A54" s="32" t="str">
        <x:v>53</x:v>
      </x:c>
      <x:c r="B54" s="26" t="str">
        <x:v>A</x:v>
      </x:c>
      <x:c r="C54" s="26" t="str">
        <x:v>铅钡</x:v>
      </x:c>
      <x:c r="D54" s="26" t="str">
        <x:v>浅蓝</x:v>
      </x:c>
      <x:c r="E54" s="26" t="str">
        <x:v>风化</x:v>
      </x:c>
      <x:c r="F54" s="24" t="str">
        <x:f>IF(D54="","未知",D54)</x:f>
        <x:v>浅蓝</x:v>
      </x:c>
      <x:c r="G54" s="25" t="n">
        <x:f>IF(E54="风化",1,IF(E54="无风化",0,"检查"))</x:f>
        <x:v>1</x:v>
      </x:c>
      <x:c r="H54" s="25" t="n">
        <x:f>IF(D54="",1,0)</x:f>
        <x:v>0</x:v>
      </x:c>
      <x:c r="I54" s="24" t="str">
        <x:f>IF(AND(A54&lt;&gt;"",OR(B54="A",B54="B",B54="C"),OR(C54="高钾",C54="铅钡"),OR(E54="风化",E54="无风化"),COUNTIF($A$2:$A$59,A54)=1),"通过","检查")</x:f>
        <x:v>通过</x:v>
      </x:c>
    </x:row>
    <x:row r="55">
      <x:c r="A55" s="32" t="str">
        <x:v>54</x:v>
      </x:c>
      <x:c r="B55" s="26" t="str">
        <x:v>C</x:v>
      </x:c>
      <x:c r="C55" s="26" t="str">
        <x:v>铅钡</x:v>
      </x:c>
      <x:c r="D55" s="26" t="str">
        <x:v>浅蓝</x:v>
      </x:c>
      <x:c r="E55" s="26" t="str">
        <x:v>风化</x:v>
      </x:c>
      <x:c r="F55" s="24" t="str">
        <x:f>IF(D55="","未知",D55)</x:f>
        <x:v>浅蓝</x:v>
      </x:c>
      <x:c r="G55" s="25" t="n">
        <x:f>IF(E55="风化",1,IF(E55="无风化",0,"检查"))</x:f>
        <x:v>1</x:v>
      </x:c>
      <x:c r="H55" s="25" t="n">
        <x:f>IF(D55="",1,0)</x:f>
        <x:v>0</x:v>
      </x:c>
      <x:c r="I55" s="24" t="str">
        <x:f>IF(AND(A55&lt;&gt;"",OR(B55="A",B55="B",B55="C"),OR(C55="高钾",C55="铅钡"),OR(E55="风化",E55="无风化"),COUNTIF($A$2:$A$59,A55)=1),"通过","检查")</x:f>
        <x:v>通过</x:v>
      </x:c>
    </x:row>
    <x:row r="56">
      <x:c r="A56" s="32" t="str">
        <x:v>55</x:v>
      </x:c>
      <x:c r="B56" s="26" t="str">
        <x:v>C</x:v>
      </x:c>
      <x:c r="C56" s="26" t="str">
        <x:v>铅钡</x:v>
      </x:c>
      <x:c r="D56" s="26" t="str">
        <x:v>绿</x:v>
      </x:c>
      <x:c r="E56" s="26" t="str">
        <x:v>无风化</x:v>
      </x:c>
      <x:c r="F56" s="24" t="str">
        <x:f>IF(D56="","未知",D56)</x:f>
        <x:v>绿</x:v>
      </x:c>
      <x:c r="G56" s="25" t="n">
        <x:f>IF(E56="风化",1,IF(E56="无风化",0,"检查"))</x:f>
        <x:v>0</x:v>
      </x:c>
      <x:c r="H56" s="25" t="n">
        <x:f>IF(D56="",1,0)</x:f>
        <x:v>0</x:v>
      </x:c>
      <x:c r="I56" s="24" t="str">
        <x:f>IF(AND(A56&lt;&gt;"",OR(B56="A",B56="B",B56="C"),OR(C56="高钾",C56="铅钡"),OR(E56="风化",E56="无风化"),COUNTIF($A$2:$A$59,A56)=1),"通过","检查")</x:f>
        <x:v>通过</x:v>
      </x:c>
    </x:row>
    <x:row r="57">
      <x:c r="A57" s="32" t="str">
        <x:v>56</x:v>
      </x:c>
      <x:c r="B57" s="26" t="str">
        <x:v>C</x:v>
      </x:c>
      <x:c r="C57" s="26" t="str">
        <x:v>铅钡</x:v>
      </x:c>
      <x:c r="D57" s="26" t="str">
        <x:v>蓝绿</x:v>
      </x:c>
      <x:c r="E57" s="26" t="str">
        <x:v>风化</x:v>
      </x:c>
      <x:c r="F57" s="24" t="str">
        <x:f>IF(D57="","未知",D57)</x:f>
        <x:v>蓝绿</x:v>
      </x:c>
      <x:c r="G57" s="25" t="n">
        <x:f>IF(E57="风化",1,IF(E57="无风化",0,"检查"))</x:f>
        <x:v>1</x:v>
      </x:c>
      <x:c r="H57" s="25" t="n">
        <x:f>IF(D57="",1,0)</x:f>
        <x:v>0</x:v>
      </x:c>
      <x:c r="I57" s="24" t="str">
        <x:f>IF(AND(A57&lt;&gt;"",OR(B57="A",B57="B",B57="C"),OR(C57="高钾",C57="铅钡"),OR(E57="风化",E57="无风化"),COUNTIF($A$2:$A$59,A57)=1),"通过","检查")</x:f>
        <x:v>通过</x:v>
      </x:c>
    </x:row>
    <x:row r="58">
      <x:c r="A58" s="32" t="str">
        <x:v>57</x:v>
      </x:c>
      <x:c r="B58" s="26" t="str">
        <x:v>C</x:v>
      </x:c>
      <x:c r="C58" s="26" t="str">
        <x:v>铅钡</x:v>
      </x:c>
      <x:c r="D58" s="26" t="str">
        <x:v>蓝绿</x:v>
      </x:c>
      <x:c r="E58" s="26" t="str">
        <x:v>风化</x:v>
      </x:c>
      <x:c r="F58" s="24" t="str">
        <x:f>IF(D58="","未知",D58)</x:f>
        <x:v>蓝绿</x:v>
      </x:c>
      <x:c r="G58" s="25" t="n">
        <x:f>IF(E58="风化",1,IF(E58="无风化",0,"检查"))</x:f>
        <x:v>1</x:v>
      </x:c>
      <x:c r="H58" s="25" t="n">
        <x:f>IF(D58="",1,0)</x:f>
        <x:v>0</x:v>
      </x:c>
      <x:c r="I58" s="24" t="str">
        <x:f>IF(AND(A58&lt;&gt;"",OR(B58="A",B58="B",B58="C"),OR(C58="高钾",C58="铅钡"),OR(E58="风化",E58="无风化"),COUNTIF($A$2:$A$59,A58)=1),"通过","检查")</x:f>
        <x:v>通过</x:v>
      </x:c>
    </x:row>
    <x:row r="59">
      <x:c r="A59" s="32" t="str">
        <x:v>58</x:v>
      </x:c>
      <x:c r="B59" s="26" t="str">
        <x:v>C</x:v>
      </x:c>
      <x:c r="C59" s="26" t="str">
        <x:v>铅钡</x:v>
      </x:c>
      <x:c r="D59" s="26"/>
      <x:c r="E59" s="26" t="str">
        <x:v>风化</x:v>
      </x:c>
      <x:c r="F59" s="24" t="str">
        <x:f>IF(D59="","未知",D59)</x:f>
        <x:v>未知</x:v>
      </x:c>
      <x:c r="G59" s="25" t="n">
        <x:f>IF(E59="风化",1,IF(E59="无风化",0,"检查"))</x:f>
        <x:v>1</x:v>
      </x:c>
      <x:c r="H59" s="25" t="n">
        <x:f>IF(D59="",1,0)</x:f>
        <x:v>1</x:v>
      </x:c>
      <x:c r="I59" s="24" t="str">
        <x:f>IF(AND(A59&lt;&gt;"",OR(B59="A",B59="B",B59="C"),OR(C59="高钾",C59="铅钡"),OR(E59="风化",E59="无风化"),COUNTIF($A$2:$A$59,A59)=1),"通过","检查")</x:f>
        <x:v>通过</x:v>
      </x:c>
    </x:row>
  </x:sheetData>
  <x:conditionalFormatting sqref="I2:I59">
    <x:cfRule type="containsText" dxfId="0" priority="1" operator="containsText" text="检查"/>
  </x:conditionalFormatting>
  <x:dataValidations count="3">
    <x:dataValidation type="list" sqref="B2:B59">
      <x:formula1>"A,B,C"</x:formula1>
    </x:dataValidation>
    <x:dataValidation type="list" sqref="C2:C59">
      <x:formula1>"高钾,铅钡"</x:formula1>
    </x:dataValidation>
    <x:dataValidation type="list" sqref="E2:E59">
      <x:formula1>"风化,无风化"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4e4130ffa247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1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5" hidden="0" customWidth="1"/>
    <x:col min="22" max="22" width="15" hidden="0" customWidth="1"/>
    <x:col min="23" max="23" width="15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</x:cols>
  <x:sheetData>
    <x:row r="1" ht="34" customHeight="1">
      <x:c r="A1" s="31" t="str">
        <x:v>文物采样点</x:v>
      </x:c>
      <x:c r="B1" s="31" t="str">
        <x:v>二氧化硅(SiO2)</x:v>
      </x:c>
      <x:c r="C1" s="31" t="str">
        <x:v>氧化钠(Na2O)</x:v>
      </x:c>
      <x:c r="D1" s="31" t="str">
        <x:v>氧化钾(K2O)</x:v>
      </x:c>
      <x:c r="E1" s="31" t="str">
        <x:v>氧化钙(CaO)</x:v>
      </x:c>
      <x:c r="F1" s="31" t="str">
        <x:v>氧化镁(MgO)</x:v>
      </x:c>
      <x:c r="G1" s="31" t="str">
        <x:v>氧化铝(Al2O3)</x:v>
      </x:c>
      <x:c r="H1" s="31" t="str">
        <x:v>氧化铁(Fe2O3)</x:v>
      </x:c>
      <x:c r="I1" s="31" t="str">
        <x:v>氧化铜(CuO)</x:v>
      </x:c>
      <x:c r="J1" s="31" t="str">
        <x:v>氧化铅(PbO)</x:v>
      </x:c>
      <x:c r="K1" s="31" t="str">
        <x:v>氧化钡(BaO)</x:v>
      </x:c>
      <x:c r="L1" s="31" t="str">
        <x:v>五氧化二磷(P2O5)</x:v>
      </x:c>
      <x:c r="M1" s="31" t="str">
        <x:v>氧化锶(SrO)</x:v>
      </x:c>
      <x:c r="N1" s="31" t="str">
        <x:v>氧化锡(SnO2)</x:v>
      </x:c>
      <x:c r="O1" s="31" t="str">
        <x:v>二氧化硫(SO2)</x:v>
      </x:c>
      <x:c r="P1" s="31" t="str">
        <x:v>文物编号</x:v>
      </x:c>
      <x:c r="Q1" s="31" t="str">
        <x:v>采样点类型</x:v>
      </x:c>
      <x:c r="R1" s="31" t="str">
        <x:v>玻璃类型</x:v>
      </x:c>
      <x:c r="S1" s="31" t="str">
        <x:v>文物整体风化</x:v>
      </x:c>
      <x:c r="T1" s="31" t="str">
        <x:v>采样点实际风化</x:v>
      </x:c>
      <x:c r="U1" s="31" t="str">
        <x:v>原始成分总和</x:v>
      </x:c>
      <x:c r="V1" s="31" t="str">
        <x:v>数据有效性</x:v>
      </x:c>
      <x:c r="W1" s="31" t="str">
        <x:v>未检出成分数</x:v>
      </x:c>
      <x:c r="X1" s="31" t="str">
        <x:v>二氧化硅(SiO2)_归一化</x:v>
      </x:c>
      <x:c r="Y1" s="31" t="str">
        <x:v>氧化钠(Na2O)_归一化</x:v>
      </x:c>
      <x:c r="Z1" s="31" t="str">
        <x:v>氧化钾(K2O)_归一化</x:v>
      </x:c>
      <x:c r="AA1" s="31" t="str">
        <x:v>氧化钙(CaO)_归一化</x:v>
      </x:c>
      <x:c r="AB1" s="31" t="str">
        <x:v>氧化镁(MgO)_归一化</x:v>
      </x:c>
      <x:c r="AC1" s="31" t="str">
        <x:v>氧化铝(Al2O3)_归一化</x:v>
      </x:c>
      <x:c r="AD1" s="31" t="str">
        <x:v>氧化铁(Fe2O3)_归一化</x:v>
      </x:c>
      <x:c r="AE1" s="31" t="str">
        <x:v>氧化铜(CuO)_归一化</x:v>
      </x:c>
      <x:c r="AF1" s="31" t="str">
        <x:v>氧化铅(PbO)_归一化</x:v>
      </x:c>
      <x:c r="AG1" s="31" t="str">
        <x:v>氧化钡(BaO)_归一化</x:v>
      </x:c>
      <x:c r="AH1" s="31" t="str">
        <x:v>五氧化二磷(P2O5)_归一化</x:v>
      </x:c>
      <x:c r="AI1" s="31" t="str">
        <x:v>氧化锶(SrO)_归一化</x:v>
      </x:c>
      <x:c r="AJ1" s="31" t="str">
        <x:v>氧化锡(SnO2)_归一化</x:v>
      </x:c>
      <x:c r="AK1" s="31" t="str">
        <x:v>二氧化硫(SO2)_归一化</x:v>
      </x:c>
      <x:c r="AL1" s="31" t="str">
        <x:v>归一化合计</x:v>
      </x:c>
    </x:row>
    <x:row r="2">
      <x:c r="A2" s="32" t="str">
        <x:v>01</x:v>
      </x:c>
      <x:c r="B2" s="33" t="n">
        <x:v>69.33</x:v>
      </x:c>
      <x:c r="C2" s="33"/>
      <x:c r="D2" s="33" t="n">
        <x:v>9.99</x:v>
      </x:c>
      <x:c r="E2" s="33" t="n">
        <x:v>6.32</x:v>
      </x:c>
      <x:c r="F2" s="33" t="n">
        <x:v>0.87</x:v>
      </x:c>
      <x:c r="G2" s="33" t="n">
        <x:v>3.93</x:v>
      </x:c>
      <x:c r="H2" s="33" t="n">
        <x:v>1.74</x:v>
      </x:c>
      <x:c r="I2" s="33" t="n">
        <x:v>3.87</x:v>
      </x:c>
      <x:c r="J2" s="33"/>
      <x:c r="K2" s="33"/>
      <x:c r="L2" s="33" t="n">
        <x:v>1.17</x:v>
      </x:c>
      <x:c r="M2" s="33"/>
      <x:c r="N2" s="33"/>
      <x:c r="O2" s="33" t="n">
        <x:v>0.39</x:v>
      </x:c>
      <x:c r="P2" s="38" t="str">
        <x:v>01</x:v>
      </x:c>
      <x:c r="Q2" s="24" t="str">
        <x:f>IF(ISNUMBER(SEARCH("未风化点",A2)),"未风化点",IF(ISNUMBER(SEARCH("严重风化点",A2)),"严重风化点",IF(ISNUMBER(SEARCH("部位",A2)),"不同部位","普通采样点")))</x:f>
        <x:v>普通采样点</x:v>
      </x:c>
      <x:c r="R2" s="24" t="str">
        <x:f>VLOOKUP(P2,'表单1_清洗'!$A$2:$E$59,3,FALSE)</x:f>
        <x:v>高钾</x:v>
      </x:c>
      <x:c r="S2" s="24" t="str">
        <x:f>VLOOKUP(P2,'表单1_清洗'!$A$2:$E$59,5,FALSE)</x:f>
        <x:v>无风化</x:v>
      </x:c>
      <x:c r="T2" s="24" t="str">
        <x:f>IF(ISNUMBER(SEARCH("未风化点",A2)),"无风化",IF(ISNUMBER(SEARCH("严重风化点",A2)),"风化",S2))</x:f>
        <x:v>无风化</x:v>
      </x:c>
      <x:c r="U2" s="36" t="n">
        <x:f>SUM(B2:O2)</x:f>
        <x:v>97.61</x:v>
      </x:c>
      <x:c r="V2" s="24" t="str">
        <x:f>IF(AND(U2&gt;=85,U2&lt;=105),"有效","无效")</x:f>
        <x:v>有效</x:v>
      </x:c>
      <x:c r="W2" s="24" t="n">
        <x:f>COUNTBLANK(B2:O2)+COUNTIF(B2:O2,0)</x:f>
        <x:v>5</x:v>
      </x:c>
      <x:c r="X2" s="37" t="n">
        <x:f>IF($V2="无效","",IF(B2="",0,B2/$U2*100))</x:f>
        <x:v>71.02755865177748</x:v>
      </x:c>
      <x:c r="Y2" s="37" t="n">
        <x:f>IF($V2="无效","",IF(C2="",0,C2/$U2*100))</x:f>
        <x:v>0</x:v>
      </x:c>
      <x:c r="Z2" s="37" t="n">
        <x:f>IF($V2="无效","",IF(D2="",0,D2/$U2*100))</x:f>
        <x:v>10.23460710992726</x:v>
      </x:c>
      <x:c r="AA2" s="37" t="n">
        <x:f>IF($V2="无效","",IF(E2="",0,E2/$U2*100))</x:f>
        <x:v>6.474746439913943</x:v>
      </x:c>
      <x:c r="AB2" s="37" t="n">
        <x:f>IF($V2="无效","",IF(F2="",0,F2/$U2*100))</x:f>
        <x:v>0.8913021206843561</x:v>
      </x:c>
      <x:c r="AC2" s="37" t="n">
        <x:f>IF($V2="无效","",IF(G2="",0,G2/$U2*100))</x:f>
        <x:v>4.026226821022436</x:v>
      </x:c>
      <x:c r="AD2" s="37" t="n">
        <x:f>IF($V2="无效","",IF(H2="",0,H2/$U2*100))</x:f>
        <x:v>1.7826042413687122</x:v>
      </x:c>
      <x:c r="AE2" s="37" t="n">
        <x:f>IF($V2="无效","",IF(I2="",0,I2/$U2*100))</x:f>
        <x:v>3.9647577092511015</x:v>
      </x:c>
      <x:c r="AF2" s="37" t="n">
        <x:f>IF($V2="无效","",IF(J2="",0,J2/$U2*100))</x:f>
        <x:v>0</x:v>
      </x:c>
      <x:c r="AG2" s="37" t="n">
        <x:f>IF($V2="无效","",IF(K2="",0,K2/$U2*100))</x:f>
        <x:v>0</x:v>
      </x:c>
      <x:c r="AH2" s="37" t="n">
        <x:f>IF($V2="无效","",IF(L2="",0,L2/$U2*100))</x:f>
        <x:v>1.1986476795410306</x:v>
      </x:c>
      <x:c r="AI2" s="37" t="n">
        <x:f>IF($V2="无效","",IF(M2="",0,M2/$U2*100))</x:f>
        <x:v>0</x:v>
      </x:c>
      <x:c r="AJ2" s="37" t="n">
        <x:f>IF($V2="无效","",IF(N2="",0,N2/$U2*100))</x:f>
        <x:v>0</x:v>
      </x:c>
      <x:c r="AK2" s="37" t="n">
        <x:f>IF($V2="无效","",IF(O2="",0,O2/$U2*100))</x:f>
        <x:v>0.3995492265136769</x:v>
      </x:c>
      <x:c r="AL2" s="37" t="n">
        <x:f>IF(V2="有效",SUM(X2:AK2),"")</x:f>
        <x:v>100</x:v>
      </x:c>
    </x:row>
    <x:row r="3">
      <x:c r="A3" s="32" t="str">
        <x:v>02</x:v>
      </x:c>
      <x:c r="B3" s="33" t="n">
        <x:v>36.28</x:v>
      </x:c>
      <x:c r="C3" s="33"/>
      <x:c r="D3" s="33" t="n">
        <x:v>1.05</x:v>
      </x:c>
      <x:c r="E3" s="33" t="n">
        <x:v>2.34</x:v>
      </x:c>
      <x:c r="F3" s="33" t="n">
        <x:v>1.18</x:v>
      </x:c>
      <x:c r="G3" s="33" t="n">
        <x:v>5.73</x:v>
      </x:c>
      <x:c r="H3" s="33" t="n">
        <x:v>1.86</x:v>
      </x:c>
      <x:c r="I3" s="33" t="n">
        <x:v>0.26</x:v>
      </x:c>
      <x:c r="J3" s="33" t="n">
        <x:v>47.43</x:v>
      </x:c>
      <x:c r="K3" s="33"/>
      <x:c r="L3" s="33" t="n">
        <x:v>3.57</x:v>
      </x:c>
      <x:c r="M3" s="33" t="n">
        <x:v>0.19</x:v>
      </x:c>
      <x:c r="N3" s="33"/>
      <x:c r="O3" s="33"/>
      <x:c r="P3" s="38" t="str">
        <x:v>02</x:v>
      </x:c>
      <x:c r="Q3" s="24" t="str">
        <x:f>IF(ISNUMBER(SEARCH("未风化点",A3)),"未风化点",IF(ISNUMBER(SEARCH("严重风化点",A3)),"严重风化点",IF(ISNUMBER(SEARCH("部位",A3)),"不同部位","普通采样点")))</x:f>
        <x:v>普通采样点</x:v>
      </x:c>
      <x:c r="R3" s="24" t="str">
        <x:f>VLOOKUP(P3,'表单1_清洗'!$A$2:$E$59,3,FALSE)</x:f>
        <x:v>铅钡</x:v>
      </x:c>
      <x:c r="S3" s="24" t="str">
        <x:f>VLOOKUP(P3,'表单1_清洗'!$A$2:$E$59,5,FALSE)</x:f>
        <x:v>风化</x:v>
      </x:c>
      <x:c r="T3" s="24" t="str">
        <x:f>IF(ISNUMBER(SEARCH("未风化点",A3)),"无风化",IF(ISNUMBER(SEARCH("严重风化点",A3)),"风化",S3))</x:f>
        <x:v>风化</x:v>
      </x:c>
      <x:c r="U3" s="36" t="n">
        <x:f>SUM(B3:O3)</x:f>
        <x:v>99.88999999999999</x:v>
      </x:c>
      <x:c r="V3" s="24" t="str">
        <x:f>IF(AND(U3&gt;=85,U3&lt;=105),"有效","无效")</x:f>
        <x:v>有效</x:v>
      </x:c>
      <x:c r="W3" s="24" t="n">
        <x:f>COUNTBLANK(B3:O3)+COUNTIF(B3:O3,0)</x:f>
        <x:v>4</x:v>
      </x:c>
      <x:c r="X3" s="37" t="n">
        <x:f>IF($V3="无效","",IF(B3="",0,B3/$U3*100))</x:f>
        <x:v>36.31995194714186</x:v>
      </x:c>
      <x:c r="Y3" s="37" t="n">
        <x:f>IF($V3="无效","",IF(C3="",0,C3/$U3*100))</x:f>
        <x:v>0</x:v>
      </x:c>
      <x:c r="Z3" s="37" t="n">
        <x:f>IF($V3="无效","",IF(D3="",0,D3/$U3*100))</x:f>
        <x:v>1.0511562718990892</x:v>
      </x:c>
      <x:c r="AA3" s="37" t="n">
        <x:f>IF($V3="无效","",IF(E3="",0,E3/$U3*100))</x:f>
        <x:v>2.34257683451797</x:v>
      </x:c>
      <x:c r="AB3" s="37" t="n">
        <x:f>IF($V3="无效","",IF(F3="",0,F3/$U3*100))</x:f>
        <x:v>1.1812994293723096</x:v>
      </x:c>
      <x:c r="AC3" s="37" t="n">
        <x:f>IF($V3="无效","",IF(G3="",0,G3/$U3*100))</x:f>
        <x:v>5.73630994093503</x:v>
      </x:c>
      <x:c r="AD3" s="37" t="n">
        <x:f>IF($V3="无效","",IF(H3="",0,H3/$U3*100))</x:f>
        <x:v>1.8620482530783866</x:v>
      </x:c>
      <x:c r="AE3" s="37" t="n">
        <x:f>IF($V3="无效","",IF(I3="",0,I3/$U3*100))</x:f>
        <x:v>0.2602863149464411</x:v>
      </x:c>
      <x:c r="AF3" s="37" t="n">
        <x:f>IF($V3="无效","",IF(J3="",0,J3/$U3*100))</x:f>
        <x:v>47.48223045349885</x:v>
      </x:c>
      <x:c r="AG3" s="37" t="n">
        <x:f>IF($V3="无效","",IF(K3="",0,K3/$U3*100))</x:f>
        <x:v>0</x:v>
      </x:c>
      <x:c r="AH3" s="37" t="n">
        <x:f>IF($V3="无效","",IF(L3="",0,L3/$U3*100))</x:f>
        <x:v>3.5739313244569026</x:v>
      </x:c>
      <x:c r="AI3" s="37" t="n">
        <x:f>IF($V3="无效","",IF(M3="",0,M3/$U3*100))</x:f>
        <x:v>0.1902092301531685</x:v>
      </x:c>
      <x:c r="AJ3" s="37" t="n">
        <x:f>IF($V3="无效","",IF(N3="",0,N3/$U3*100))</x:f>
        <x:v>0</x:v>
      </x:c>
      <x:c r="AK3" s="37" t="n">
        <x:f>IF($V3="无效","",IF(O3="",0,O3/$U3*100))</x:f>
        <x:v>0</x:v>
      </x:c>
      <x:c r="AL3" s="37" t="n">
        <x:f>IF(V3="有效",SUM(X3:AK3),"")</x:f>
        <x:v>100.00000000000001</x:v>
      </x:c>
    </x:row>
    <x:row r="4">
      <x:c r="A4" s="32" t="str">
        <x:v>03部位1</x:v>
      </x:c>
      <x:c r="B4" s="33" t="n">
        <x:v>87.05</x:v>
      </x:c>
      <x:c r="C4" s="33"/>
      <x:c r="D4" s="33" t="n">
        <x:v>5.19</x:v>
      </x:c>
      <x:c r="E4" s="33" t="n">
        <x:v>2.01</x:v>
      </x:c>
      <x:c r="F4" s="33"/>
      <x:c r="G4" s="33" t="n">
        <x:v>4.06</x:v>
      </x:c>
      <x:c r="H4" s="33"/>
      <x:c r="I4" s="33" t="n">
        <x:v>0.78</x:v>
      </x:c>
      <x:c r="J4" s="33" t="n">
        <x:v>0.25</x:v>
      </x:c>
      <x:c r="K4" s="33"/>
      <x:c r="L4" s="33" t="n">
        <x:v>0.66</x:v>
      </x:c>
      <x:c r="M4" s="33"/>
      <x:c r="N4" s="33"/>
      <x:c r="O4" s="33"/>
      <x:c r="P4" s="38" t="str">
        <x:v>03</x:v>
      </x:c>
      <x:c r="Q4" s="24" t="str">
        <x:f>IF(ISNUMBER(SEARCH("未风化点",A4)),"未风化点",IF(ISNUMBER(SEARCH("严重风化点",A4)),"严重风化点",IF(ISNUMBER(SEARCH("部位",A4)),"不同部位","普通采样点")))</x:f>
        <x:v>不同部位</x:v>
      </x:c>
      <x:c r="R4" s="24" t="str">
        <x:f>VLOOKUP(P4,'表单1_清洗'!$A$2:$E$59,3,FALSE)</x:f>
        <x:v>高钾</x:v>
      </x:c>
      <x:c r="S4" s="24" t="str">
        <x:f>VLOOKUP(P4,'表单1_清洗'!$A$2:$E$59,5,FALSE)</x:f>
        <x:v>无风化</x:v>
      </x:c>
      <x:c r="T4" s="24" t="str">
        <x:f>IF(ISNUMBER(SEARCH("未风化点",A4)),"无风化",IF(ISNUMBER(SEARCH("严重风化点",A4)),"风化",S4))</x:f>
        <x:v>无风化</x:v>
      </x:c>
      <x:c r="U4" s="36" t="n">
        <x:f>SUM(B4:O4)</x:f>
        <x:v>100</x:v>
      </x:c>
      <x:c r="V4" s="24" t="str">
        <x:f>IF(AND(U4&gt;=85,U4&lt;=105),"有效","无效")</x:f>
        <x:v>有效</x:v>
      </x:c>
      <x:c r="W4" s="24" t="n">
        <x:f>COUNTBLANK(B4:O4)+COUNTIF(B4:O4,0)</x:f>
        <x:v>7</x:v>
      </x:c>
      <x:c r="X4" s="37" t="n">
        <x:f>IF($V4="无效","",IF(B4="",0,B4/$U4*100))</x:f>
        <x:v>87.05</x:v>
      </x:c>
      <x:c r="Y4" s="37" t="n">
        <x:f>IF($V4="无效","",IF(C4="",0,C4/$U4*100))</x:f>
        <x:v>0</x:v>
      </x:c>
      <x:c r="Z4" s="37" t="n">
        <x:f>IF($V4="无效","",IF(D4="",0,D4/$U4*100))</x:f>
        <x:v>5.19</x:v>
      </x:c>
      <x:c r="AA4" s="37" t="n">
        <x:f>IF($V4="无效","",IF(E4="",0,E4/$U4*100))</x:f>
        <x:v>2.01</x:v>
      </x:c>
      <x:c r="AB4" s="37" t="n">
        <x:f>IF($V4="无效","",IF(F4="",0,F4/$U4*100))</x:f>
        <x:v>0</x:v>
      </x:c>
      <x:c r="AC4" s="37" t="n">
        <x:f>IF($V4="无效","",IF(G4="",0,G4/$U4*100))</x:f>
        <x:v>4.06</x:v>
      </x:c>
      <x:c r="AD4" s="37" t="n">
        <x:f>IF($V4="无效","",IF(H4="",0,H4/$U4*100))</x:f>
        <x:v>0</x:v>
      </x:c>
      <x:c r="AE4" s="37" t="n">
        <x:f>IF($V4="无效","",IF(I4="",0,I4/$U4*100))</x:f>
        <x:v>0.78</x:v>
      </x:c>
      <x:c r="AF4" s="37" t="n">
        <x:f>IF($V4="无效","",IF(J4="",0,J4/$U4*100))</x:f>
        <x:v>0.25</x:v>
      </x:c>
      <x:c r="AG4" s="37" t="n">
        <x:f>IF($V4="无效","",IF(K4="",0,K4/$U4*100))</x:f>
        <x:v>0</x:v>
      </x:c>
      <x:c r="AH4" s="37" t="n">
        <x:f>IF($V4="无效","",IF(L4="",0,L4/$U4*100))</x:f>
        <x:v>0.66</x:v>
      </x:c>
      <x:c r="AI4" s="37" t="n">
        <x:f>IF($V4="无效","",IF(M4="",0,M4/$U4*100))</x:f>
        <x:v>0</x:v>
      </x:c>
      <x:c r="AJ4" s="37" t="n">
        <x:f>IF($V4="无效","",IF(N4="",0,N4/$U4*100))</x:f>
        <x:v>0</x:v>
      </x:c>
      <x:c r="AK4" s="37" t="n">
        <x:f>IF($V4="无效","",IF(O4="",0,O4/$U4*100))</x:f>
        <x:v>0</x:v>
      </x:c>
      <x:c r="AL4" s="37" t="n">
        <x:f>IF(V4="有效",SUM(X4:AK4),"")</x:f>
        <x:v>100</x:v>
      </x:c>
    </x:row>
    <x:row r="5">
      <x:c r="A5" s="32" t="str">
        <x:v>03部位2</x:v>
      </x:c>
      <x:c r="B5" s="33" t="n">
        <x:v>61.71</x:v>
      </x:c>
      <x:c r="C5" s="33"/>
      <x:c r="D5" s="33" t="n">
        <x:v>12.37</x:v>
      </x:c>
      <x:c r="E5" s="33" t="n">
        <x:v>5.87</x:v>
      </x:c>
      <x:c r="F5" s="33" t="n">
        <x:v>1.11</x:v>
      </x:c>
      <x:c r="G5" s="33" t="n">
        <x:v>5.5</x:v>
      </x:c>
      <x:c r="H5" s="33" t="n">
        <x:v>2.16</x:v>
      </x:c>
      <x:c r="I5" s="33" t="n">
        <x:v>5.09</x:v>
      </x:c>
      <x:c r="J5" s="33" t="n">
        <x:v>1.41</x:v>
      </x:c>
      <x:c r="K5" s="33" t="n">
        <x:v>2.86</x:v>
      </x:c>
      <x:c r="L5" s="33" t="n">
        <x:v>0.7</x:v>
      </x:c>
      <x:c r="M5" s="33" t="n">
        <x:v>0.1</x:v>
      </x:c>
      <x:c r="N5" s="33"/>
      <x:c r="O5" s="33"/>
      <x:c r="P5" s="38" t="str">
        <x:v>03</x:v>
      </x:c>
      <x:c r="Q5" s="24" t="str">
        <x:f>IF(ISNUMBER(SEARCH("未风化点",A5)),"未风化点",IF(ISNUMBER(SEARCH("严重风化点",A5)),"严重风化点",IF(ISNUMBER(SEARCH("部位",A5)),"不同部位","普通采样点")))</x:f>
        <x:v>不同部位</x:v>
      </x:c>
      <x:c r="R5" s="24" t="str">
        <x:f>VLOOKUP(P5,'表单1_清洗'!$A$2:$E$59,3,FALSE)</x:f>
        <x:v>高钾</x:v>
      </x:c>
      <x:c r="S5" s="24" t="str">
        <x:f>VLOOKUP(P5,'表单1_清洗'!$A$2:$E$59,5,FALSE)</x:f>
        <x:v>无风化</x:v>
      </x:c>
      <x:c r="T5" s="24" t="str">
        <x:f>IF(ISNUMBER(SEARCH("未风化点",A5)),"无风化",IF(ISNUMBER(SEARCH("严重风化点",A5)),"风化",S5))</x:f>
        <x:v>无风化</x:v>
      </x:c>
      <x:c r="U5" s="36" t="n">
        <x:f>SUM(B5:O5)</x:f>
        <x:v>98.88</x:v>
      </x:c>
      <x:c r="V5" s="24" t="str">
        <x:f>IF(AND(U5&gt;=85,U5&lt;=105),"有效","无效")</x:f>
        <x:v>有效</x:v>
      </x:c>
      <x:c r="W5" s="24" t="n">
        <x:f>COUNTBLANK(B5:O5)+COUNTIF(B5:O5,0)</x:f>
        <x:v>3</x:v>
      </x:c>
      <x:c r="X5" s="37" t="n">
        <x:f>IF($V5="无效","",IF(B5="",0,B5/$U5*100))</x:f>
        <x:v>62.40898058252428</x:v>
      </x:c>
      <x:c r="Y5" s="37" t="n">
        <x:f>IF($V5="无效","",IF(C5="",0,C5/$U5*100))</x:f>
        <x:v>0</x:v>
      </x:c>
      <x:c r="Z5" s="37" t="n">
        <x:f>IF($V5="无效","",IF(D5="",0,D5/$U5*100))</x:f>
        <x:v>12.510113268608414</x:v>
      </x:c>
      <x:c r="AA5" s="37" t="n">
        <x:f>IF($V5="无效","",IF(E5="",0,E5/$U5*100))</x:f>
        <x:v>5.936488673139159</x:v>
      </x:c>
      <x:c r="AB5" s="37" t="n">
        <x:f>IF($V5="无效","",IF(F5="",0,F5/$U5*100))</x:f>
        <x:v>1.1225728155339807</x:v>
      </x:c>
      <x:c r="AC5" s="37" t="n">
        <x:f>IF($V5="无效","",IF(G5="",0,G5/$U5*100))</x:f>
        <x:v>5.562297734627832</x:v>
      </x:c>
      <x:c r="AD5" s="37" t="n">
        <x:f>IF($V5="无效","",IF(H5="",0,H5/$U5*100))</x:f>
        <x:v>2.1844660194174756</x:v>
      </x:c>
      <x:c r="AE5" s="37" t="n">
        <x:f>IF($V5="无效","",IF(I5="",0,I5/$U5*100))</x:f>
        <x:v>5.147653721682848</x:v>
      </x:c>
      <x:c r="AF5" s="37" t="n">
        <x:f>IF($V5="无效","",IF(J5="",0,J5/$U5*100))</x:f>
        <x:v>1.4259708737864079</x:v>
      </x:c>
      <x:c r="AG5" s="37" t="n">
        <x:f>IF($V5="无效","",IF(K5="",0,K5/$U5*100))</x:f>
        <x:v>2.8923948220064726</x:v>
      </x:c>
      <x:c r="AH5" s="37" t="n">
        <x:f>IF($V5="无效","",IF(L5="",0,L5/$U5*100))</x:f>
        <x:v>0.7079288025889968</x:v>
      </x:c>
      <x:c r="AI5" s="37" t="n">
        <x:f>IF($V5="无效","",IF(M5="",0,M5/$U5*100))</x:f>
        <x:v>0.10113268608414241</x:v>
      </x:c>
      <x:c r="AJ5" s="37" t="n">
        <x:f>IF($V5="无效","",IF(N5="",0,N5/$U5*100))</x:f>
        <x:v>0</x:v>
      </x:c>
      <x:c r="AK5" s="37" t="n">
        <x:f>IF($V5="无效","",IF(O5="",0,O5/$U5*100))</x:f>
        <x:v>0</x:v>
      </x:c>
      <x:c r="AL5" s="37" t="n">
        <x:f>IF(V5="有效",SUM(X5:AK5),"")</x:f>
        <x:v>100</x:v>
      </x:c>
    </x:row>
    <x:row r="6">
      <x:c r="A6" s="32" t="str">
        <x:v>04</x:v>
      </x:c>
      <x:c r="B6" s="33" t="n">
        <x:v>65.88</x:v>
      </x:c>
      <x:c r="C6" s="33"/>
      <x:c r="D6" s="33" t="n">
        <x:v>9.67</x:v>
      </x:c>
      <x:c r="E6" s="33" t="n">
        <x:v>7.12</x:v>
      </x:c>
      <x:c r="F6" s="33" t="n">
        <x:v>1.56</x:v>
      </x:c>
      <x:c r="G6" s="33" t="n">
        <x:v>6.44</x:v>
      </x:c>
      <x:c r="H6" s="33" t="n">
        <x:v>2.06</x:v>
      </x:c>
      <x:c r="I6" s="33" t="n">
        <x:v>2.18</x:v>
      </x:c>
      <x:c r="J6" s="33"/>
      <x:c r="K6" s="33"/>
      <x:c r="L6" s="33" t="n">
        <x:v>0.79</x:v>
      </x:c>
      <x:c r="M6" s="33"/>
      <x:c r="N6" s="33"/>
      <x:c r="O6" s="33" t="n">
        <x:v>0.36</x:v>
      </x:c>
      <x:c r="P6" s="38" t="str">
        <x:v>04</x:v>
      </x:c>
      <x:c r="Q6" s="24" t="str">
        <x:f>IF(ISNUMBER(SEARCH("未风化点",A6)),"未风化点",IF(ISNUMBER(SEARCH("严重风化点",A6)),"严重风化点",IF(ISNUMBER(SEARCH("部位",A6)),"不同部位","普通采样点")))</x:f>
        <x:v>普通采样点</x:v>
      </x:c>
      <x:c r="R6" s="24" t="str">
        <x:f>VLOOKUP(P6,'表单1_清洗'!$A$2:$E$59,3,FALSE)</x:f>
        <x:v>高钾</x:v>
      </x:c>
      <x:c r="S6" s="24" t="str">
        <x:f>VLOOKUP(P6,'表单1_清洗'!$A$2:$E$59,5,FALSE)</x:f>
        <x:v>无风化</x:v>
      </x:c>
      <x:c r="T6" s="24" t="str">
        <x:f>IF(ISNUMBER(SEARCH("未风化点",A6)),"无风化",IF(ISNUMBER(SEARCH("严重风化点",A6)),"风化",S6))</x:f>
        <x:v>无风化</x:v>
      </x:c>
      <x:c r="U6" s="36" t="n">
        <x:f>SUM(B6:O6)</x:f>
        <x:v>96.06000000000002</x:v>
      </x:c>
      <x:c r="V6" s="24" t="str">
        <x:f>IF(AND(U6&gt;=85,U6&lt;=105),"有效","无效")</x:f>
        <x:v>有效</x:v>
      </x:c>
      <x:c r="W6" s="24" t="n">
        <x:f>COUNTBLANK(B6:O6)+COUNTIF(B6:O6,0)</x:f>
        <x:v>5</x:v>
      </x:c>
      <x:c r="X6" s="37" t="n">
        <x:f>IF($V6="无效","",IF(B6="",0,B6/$U6*100))</x:f>
        <x:v>68.58213616489692</x:v>
      </x:c>
      <x:c r="Y6" s="37" t="n">
        <x:f>IF($V6="无效","",IF(C6="",0,C6/$U6*100))</x:f>
        <x:v>0</x:v>
      </x:c>
      <x:c r="Z6" s="37" t="n">
        <x:f>IF($V6="无效","",IF(D6="",0,D6/$U6*100))</x:f>
        <x:v>10.066625026025399</x:v>
      </x:c>
      <x:c r="AA6" s="37" t="n">
        <x:f>IF($V6="无效","",IF(E6="",0,E6/$U6*100))</x:f>
        <x:v>7.412034145325837</x:v>
      </x:c>
      <x:c r="AB6" s="37" t="n">
        <x:f>IF($V6="无效","",IF(F6="",0,F6/$U6*100))</x:f>
        <x:v>1.623985009369144</x:v>
      </x:c>
      <x:c r="AC6" s="37" t="n">
        <x:f>IF($V6="无效","",IF(G6="",0,G6/$U6*100))</x:f>
        <x:v>6.704143243805954</x:v>
      </x:c>
      <x:c r="AD6" s="37" t="n">
        <x:f>IF($V6="无效","",IF(H6="",0,H6/$U6*100))</x:f>
        <x:v>2.1444930251925878</x:v>
      </x:c>
      <x:c r="AE6" s="37" t="n">
        <x:f>IF($V6="无效","",IF(I6="",0,I6/$U6*100))</x:f>
        <x:v>2.2694149489902142</x:v>
      </x:c>
      <x:c r="AF6" s="37" t="n">
        <x:f>IF($V6="无效","",IF(J6="",0,J6/$U6*100))</x:f>
        <x:v>0</x:v>
      </x:c>
      <x:c r="AG6" s="37" t="n">
        <x:f>IF($V6="无效","",IF(K6="",0,K6/$U6*100))</x:f>
        <x:v>0</x:v>
      </x:c>
      <x:c r="AH6" s="37" t="n">
        <x:f>IF($V6="无效","",IF(L6="",0,L6/$U6*100))</x:f>
        <x:v>0.8224026650010409</x:v>
      </x:c>
      <x:c r="AI6" s="37" t="n">
        <x:f>IF($V6="无效","",IF(M6="",0,M6/$U6*100))</x:f>
        <x:v>0</x:v>
      </x:c>
      <x:c r="AJ6" s="37" t="n">
        <x:f>IF($V6="无效","",IF(N6="",0,N6/$U6*100))</x:f>
        <x:v>0</x:v>
      </x:c>
      <x:c r="AK6" s="37" t="n">
        <x:f>IF($V6="无效","",IF(O6="",0,O6/$U6*100))</x:f>
        <x:v>0.37476577139287937</x:v>
      </x:c>
      <x:c r="AL6" s="37" t="n">
        <x:f>IF(V6="有效",SUM(X6:AK6),"")</x:f>
        <x:v>99.99999999999999</x:v>
      </x:c>
    </x:row>
    <x:row r="7">
      <x:c r="A7" s="32" t="str">
        <x:v>05</x:v>
      </x:c>
      <x:c r="B7" s="33" t="n">
        <x:v>61.58</x:v>
      </x:c>
      <x:c r="C7" s="33"/>
      <x:c r="D7" s="33" t="n">
        <x:v>10.95</x:v>
      </x:c>
      <x:c r="E7" s="33" t="n">
        <x:v>7.35</x:v>
      </x:c>
      <x:c r="F7" s="33" t="n">
        <x:v>1.77</x:v>
      </x:c>
      <x:c r="G7" s="33" t="n">
        <x:v>7.5</x:v>
      </x:c>
      <x:c r="H7" s="33" t="n">
        <x:v>2.62</x:v>
      </x:c>
      <x:c r="I7" s="33" t="n">
        <x:v>3.27</x:v>
      </x:c>
      <x:c r="J7" s="33"/>
      <x:c r="K7" s="33"/>
      <x:c r="L7" s="33" t="n">
        <x:v>0.94</x:v>
      </x:c>
      <x:c r="M7" s="33" t="n">
        <x:v>0.06</x:v>
      </x:c>
      <x:c r="N7" s="33"/>
      <x:c r="O7" s="33" t="n">
        <x:v>0.47</x:v>
      </x:c>
      <x:c r="P7" s="38" t="str">
        <x:v>05</x:v>
      </x:c>
      <x:c r="Q7" s="24" t="str">
        <x:f>IF(ISNUMBER(SEARCH("未风化点",A7)),"未风化点",IF(ISNUMBER(SEARCH("严重风化点",A7)),"严重风化点",IF(ISNUMBER(SEARCH("部位",A7)),"不同部位","普通采样点")))</x:f>
        <x:v>普通采样点</x:v>
      </x:c>
      <x:c r="R7" s="24" t="str">
        <x:f>VLOOKUP(P7,'表单1_清洗'!$A$2:$E$59,3,FALSE)</x:f>
        <x:v>高钾</x:v>
      </x:c>
      <x:c r="S7" s="24" t="str">
        <x:f>VLOOKUP(P7,'表单1_清洗'!$A$2:$E$59,5,FALSE)</x:f>
        <x:v>无风化</x:v>
      </x:c>
      <x:c r="T7" s="24" t="str">
        <x:f>IF(ISNUMBER(SEARCH("未风化点",A7)),"无风化",IF(ISNUMBER(SEARCH("严重风化点",A7)),"风化",S7))</x:f>
        <x:v>无风化</x:v>
      </x:c>
      <x:c r="U7" s="36" t="n">
        <x:f>SUM(B7:O7)</x:f>
        <x:v>96.50999999999999</x:v>
      </x:c>
      <x:c r="V7" s="24" t="str">
        <x:f>IF(AND(U7&gt;=85,U7&lt;=105),"有效","无效")</x:f>
        <x:v>有效</x:v>
      </x:c>
      <x:c r="W7" s="24" t="n">
        <x:f>COUNTBLANK(B7:O7)+COUNTIF(B7:O7,0)</x:f>
        <x:v>4</x:v>
      </x:c>
      <x:c r="X7" s="37" t="n">
        <x:f>IF($V7="无效","",IF(B7="",0,B7/$U7*100))</x:f>
        <x:v>63.80685939280903</x:v>
      </x:c>
      <x:c r="Y7" s="37" t="n">
        <x:f>IF($V7="无效","",IF(C7="",0,C7/$U7*100))</x:f>
        <x:v>0</x:v>
      </x:c>
      <x:c r="Z7" s="37" t="n">
        <x:f>IF($V7="无效","",IF(D7="",0,D7/$U7*100))</x:f>
        <x:v>11.345974510413429</x:v>
      </x:c>
      <x:c r="AA7" s="37" t="n">
        <x:f>IF($V7="无效","",IF(E7="",0,E7/$U7*100))</x:f>
        <x:v>7.615791109729562</x:v>
      </x:c>
      <x:c r="AB7" s="37" t="n">
        <x:f>IF($V7="无效","",IF(F7="",0,F7/$U7*100))</x:f>
        <x:v>1.834006838669568</x:v>
      </x:c>
      <x:c r="AC7" s="37" t="n">
        <x:f>IF($V7="无效","",IF(G7="",0,G7/$U7*100))</x:f>
        <x:v>7.77121541809139</x:v>
      </x:c>
      <x:c r="AD7" s="37" t="n">
        <x:f>IF($V7="无效","",IF(H7="",0,H7/$U7*100))</x:f>
        <x:v>2.7147445860532593</x:v>
      </x:c>
      <x:c r="AE7" s="37" t="n">
        <x:f>IF($V7="无效","",IF(I7="",0,I7/$U7*100))</x:f>
        <x:v>3.388249922287846</x:v>
      </x:c>
      <x:c r="AF7" s="37" t="n">
        <x:f>IF($V7="无效","",IF(J7="",0,J7/$U7*100))</x:f>
        <x:v>0</x:v>
      </x:c>
      <x:c r="AG7" s="37" t="n">
        <x:f>IF($V7="无效","",IF(K7="",0,K7/$U7*100))</x:f>
        <x:v>0</x:v>
      </x:c>
      <x:c r="AH7" s="37" t="n">
        <x:f>IF($V7="无效","",IF(L7="",0,L7/$U7*100))</x:f>
        <x:v>0.9739923324007875</x:v>
      </x:c>
      <x:c r="AI7" s="37" t="n">
        <x:f>IF($V7="无效","",IF(M7="",0,M7/$U7*100))</x:f>
        <x:v>0.06216972334473112</x:v>
      </x:c>
      <x:c r="AJ7" s="37" t="n">
        <x:f>IF($V7="无效","",IF(N7="",0,N7/$U7*100))</x:f>
        <x:v>0</x:v>
      </x:c>
      <x:c r="AK7" s="37" t="n">
        <x:f>IF($V7="无效","",IF(O7="",0,O7/$U7*100))</x:f>
        <x:v>0.48699616620039377</x:v>
      </x:c>
      <x:c r="AL7" s="37" t="n">
        <x:f>IF(V7="有效",SUM(X7:AK7),"")</x:f>
        <x:v>99.99999999999999</x:v>
      </x:c>
    </x:row>
    <x:row r="8">
      <x:c r="A8" s="32" t="str">
        <x:v>06部位1</x:v>
      </x:c>
      <x:c r="B8" s="33" t="n">
        <x:v>67.65</x:v>
      </x:c>
      <x:c r="C8" s="33"/>
      <x:c r="D8" s="33" t="n">
        <x:v>7.37</x:v>
      </x:c>
      <x:c r="E8" s="33"/>
      <x:c r="F8" s="33" t="n">
        <x:v>1.98</x:v>
      </x:c>
      <x:c r="G8" s="33" t="n">
        <x:v>11.15</x:v>
      </x:c>
      <x:c r="H8" s="33" t="n">
        <x:v>2.39</x:v>
      </x:c>
      <x:c r="I8" s="33" t="n">
        <x:v>2.51</x:v>
      </x:c>
      <x:c r="J8" s="33" t="n">
        <x:v>0.2</x:v>
      </x:c>
      <x:c r="K8" s="33" t="n">
        <x:v>1.38</x:v>
      </x:c>
      <x:c r="L8" s="33" t="n">
        <x:v>4.18</x:v>
      </x:c>
      <x:c r="M8" s="33" t="n">
        <x:v>0.11</x:v>
      </x:c>
      <x:c r="N8" s="33"/>
      <x:c r="O8" s="33"/>
      <x:c r="P8" s="38" t="str">
        <x:v>06</x:v>
      </x:c>
      <x:c r="Q8" s="24" t="str">
        <x:f>IF(ISNUMBER(SEARCH("未风化点",A8)),"未风化点",IF(ISNUMBER(SEARCH("严重风化点",A8)),"严重风化点",IF(ISNUMBER(SEARCH("部位",A8)),"不同部位","普通采样点")))</x:f>
        <x:v>不同部位</x:v>
      </x:c>
      <x:c r="R8" s="24" t="str">
        <x:f>VLOOKUP(P8,'表单1_清洗'!$A$2:$E$59,3,FALSE)</x:f>
        <x:v>高钾</x:v>
      </x:c>
      <x:c r="S8" s="24" t="str">
        <x:f>VLOOKUP(P8,'表单1_清洗'!$A$2:$E$59,5,FALSE)</x:f>
        <x:v>无风化</x:v>
      </x:c>
      <x:c r="T8" s="24" t="str">
        <x:f>IF(ISNUMBER(SEARCH("未风化点",A8)),"无风化",IF(ISNUMBER(SEARCH("严重风化点",A8)),"风化",S8))</x:f>
        <x:v>无风化</x:v>
      </x:c>
      <x:c r="U8" s="36" t="n">
        <x:f>SUM(B8:O8)</x:f>
        <x:v>98.92000000000003</x:v>
      </x:c>
      <x:c r="V8" s="24" t="str">
        <x:f>IF(AND(U8&gt;=85,U8&lt;=105),"有效","无效")</x:f>
        <x:v>有效</x:v>
      </x:c>
      <x:c r="W8" s="24" t="n">
        <x:f>COUNTBLANK(B8:O8)+COUNTIF(B8:O8,0)</x:f>
        <x:v>4</x:v>
      </x:c>
      <x:c r="X8" s="37" t="n">
        <x:f>IF($V8="无效","",IF(B8="",0,B8/$U8*100))</x:f>
        <x:v>68.3885968459361</x:v>
      </x:c>
      <x:c r="Y8" s="37" t="n">
        <x:f>IF($V8="无效","",IF(C8="",0,C8/$U8*100))</x:f>
        <x:v>0</x:v>
      </x:c>
      <x:c r="Z8" s="37" t="n">
        <x:f>IF($V8="无效","",IF(D8="",0,D8/$U8*100))</x:f>
        <x:v>7.450465022240192</x:v>
      </x:c>
      <x:c r="AA8" s="37" t="n">
        <x:f>IF($V8="无效","",IF(E8="",0,E8/$U8*100))</x:f>
        <x:v>0</x:v>
      </x:c>
      <x:c r="AB8" s="37" t="n">
        <x:f>IF($V8="无效","",IF(F8="",0,F8/$U8*100))</x:f>
        <x:v>2.0016174686615438</x:v>
      </x:c>
      <x:c r="AC8" s="37" t="n">
        <x:f>IF($V8="无效","",IF(G8="",0,G8/$U8*100))</x:f>
        <x:v>11.271734735139503</x:v>
      </x:c>
      <x:c r="AD8" s="37" t="n">
        <x:f>IF($V8="无效","",IF(H8="",0,H8/$U8*100))</x:f>
        <x:v>2.416093813182369</x:v>
      </x:c>
      <x:c r="AE8" s="37" t="n">
        <x:f>IF($V8="无效","",IF(I8="",0,I8/$U8*100))</x:f>
        <x:v>2.5374039627982197</x:v>
      </x:c>
      <x:c r="AF8" s="37" t="n">
        <x:f>IF($V8="无效","",IF(J8="",0,J8/$U8*100))</x:f>
        <x:v>0.20218358269308528</x:v>
      </x:c>
      <x:c r="AG8" s="37" t="n">
        <x:f>IF($V8="无效","",IF(K8="",0,K8/$U8*100))</x:f>
        <x:v>1.3950667205822882</x:v>
      </x:c>
      <x:c r="AH8" s="37" t="n">
        <x:f>IF($V8="无效","",IF(L8="",0,L8/$U8*100))</x:f>
        <x:v>4.225636878285481</x:v>
      </x:c>
      <x:c r="AI8" s="37" t="n">
        <x:f>IF($V8="无效","",IF(M8="",0,M8/$U8*100))</x:f>
        <x:v>0.1112009704811969</x:v>
      </x:c>
      <x:c r="AJ8" s="37" t="n">
        <x:f>IF($V8="无效","",IF(N8="",0,N8/$U8*100))</x:f>
        <x:v>0</x:v>
      </x:c>
      <x:c r="AK8" s="37" t="n">
        <x:f>IF($V8="无效","",IF(O8="",0,O8/$U8*100))</x:f>
        <x:v>0</x:v>
      </x:c>
      <x:c r="AL8" s="37" t="n">
        <x:f>IF(V8="有效",SUM(X8:AK8),"")</x:f>
        <x:v>100</x:v>
      </x:c>
    </x:row>
    <x:row r="9">
      <x:c r="A9" s="32" t="str">
        <x:v>06部位2</x:v>
      </x:c>
      <x:c r="B9" s="33" t="n">
        <x:v>59.81</x:v>
      </x:c>
      <x:c r="C9" s="33"/>
      <x:c r="D9" s="33" t="n">
        <x:v>7.68</x:v>
      </x:c>
      <x:c r="E9" s="33" t="n">
        <x:v>5.41</x:v>
      </x:c>
      <x:c r="F9" s="33" t="n">
        <x:v>1.73</x:v>
      </x:c>
      <x:c r="G9" s="33" t="n">
        <x:v>10.05</x:v>
      </x:c>
      <x:c r="H9" s="33" t="n">
        <x:v>6.04</x:v>
      </x:c>
      <x:c r="I9" s="33" t="n">
        <x:v>2.18</x:v>
      </x:c>
      <x:c r="J9" s="33" t="n">
        <x:v>0.35</x:v>
      </x:c>
      <x:c r="K9" s="33" t="n">
        <x:v>0.97</x:v>
      </x:c>
      <x:c r="L9" s="33" t="n">
        <x:v>4.5</x:v>
      </x:c>
      <x:c r="M9" s="33" t="n">
        <x:v>0.12</x:v>
      </x:c>
      <x:c r="N9" s="33"/>
      <x:c r="O9" s="33"/>
      <x:c r="P9" s="38" t="str">
        <x:v>06</x:v>
      </x:c>
      <x:c r="Q9" s="24" t="str">
        <x:f>IF(ISNUMBER(SEARCH("未风化点",A9)),"未风化点",IF(ISNUMBER(SEARCH("严重风化点",A9)),"严重风化点",IF(ISNUMBER(SEARCH("部位",A9)),"不同部位","普通采样点")))</x:f>
        <x:v>不同部位</x:v>
      </x:c>
      <x:c r="R9" s="24" t="str">
        <x:f>VLOOKUP(P9,'表单1_清洗'!$A$2:$E$59,3,FALSE)</x:f>
        <x:v>高钾</x:v>
      </x:c>
      <x:c r="S9" s="24" t="str">
        <x:f>VLOOKUP(P9,'表单1_清洗'!$A$2:$E$59,5,FALSE)</x:f>
        <x:v>无风化</x:v>
      </x:c>
      <x:c r="T9" s="24" t="str">
        <x:f>IF(ISNUMBER(SEARCH("未风化点",A9)),"无风化",IF(ISNUMBER(SEARCH("严重风化点",A9)),"风化",S9))</x:f>
        <x:v>无风化</x:v>
      </x:c>
      <x:c r="U9" s="36" t="n">
        <x:f>SUM(B9:O9)</x:f>
        <x:v>98.84000000000002</x:v>
      </x:c>
      <x:c r="V9" s="24" t="str">
        <x:f>IF(AND(U9&gt;=85,U9&lt;=105),"有效","无效")</x:f>
        <x:v>有效</x:v>
      </x:c>
      <x:c r="W9" s="24" t="n">
        <x:f>COUNTBLANK(B9:O9)+COUNTIF(B9:O9,0)</x:f>
        <x:v>3</x:v>
      </x:c>
      <x:c r="X9" s="37" t="n">
        <x:f>IF($V9="无效","",IF(B9="",0,B9/$U9*100))</x:f>
        <x:v>60.51193848644273</x:v>
      </x:c>
      <x:c r="Y9" s="37" t="n">
        <x:f>IF($V9="无效","",IF(C9="",0,C9/$U9*100))</x:f>
        <x:v>0</x:v>
      </x:c>
      <x:c r="Z9" s="37" t="n">
        <x:f>IF($V9="无效","",IF(D9="",0,D9/$U9*100))</x:f>
        <x:v>7.7701335491703745</x:v>
      </x:c>
      <x:c r="AA9" s="37" t="n">
        <x:f>IF($V9="无效","",IF(E9="",0,E9/$U9*100))</x:f>
        <x:v>5.473492513152569</x:v>
      </x:c>
      <x:c r="AB9" s="37" t="n">
        <x:f>IF($V9="无效","",IF(F9="",0,F9/$U9*100))</x:f>
        <x:v>1.750303520841764</x:v>
      </x:c>
      <x:c r="AC9" s="37" t="n">
        <x:f>IF($V9="无效","",IF(G9="",0,G9/$U9*100))</x:f>
        <x:v>10.16794819910967</x:v>
      </x:c>
      <x:c r="AD9" s="37" t="n">
        <x:f>IF($V9="无效","",IF(H9="",0,H9/$U9*100))</x:f>
        <x:v>6.110886280857951</x:v>
      </x:c>
      <x:c r="AE9" s="37" t="n">
        <x:f>IF($V9="无效","",IF(I9="",0,I9/$U9*100))</x:f>
        <x:v>2.205584783488466</x:v>
      </x:c>
      <x:c r="AF9" s="37" t="n">
        <x:f>IF($V9="无效","",IF(J9="",0,J9/$U9*100))</x:f>
        <x:v>0.3541076487252124</x:v>
      </x:c>
      <x:c r="AG9" s="37" t="n">
        <x:f>IF($V9="无效","",IF(K9="",0,K9/$U9*100))</x:f>
        <x:v>0.9813840550384457</x:v>
      </x:c>
      <x:c r="AH9" s="37" t="n">
        <x:f>IF($V9="无效","",IF(L9="",0,L9/$U9*100))</x:f>
        <x:v>4.552812626467016</x:v>
      </x:c>
      <x:c r="AI9" s="37" t="n">
        <x:f>IF($V9="无效","",IF(M9="",0,M9/$U9*100))</x:f>
        <x:v>0.1214083367057871</x:v>
      </x:c>
      <x:c r="AJ9" s="37" t="n">
        <x:f>IF($V9="无效","",IF(N9="",0,N9/$U9*100))</x:f>
        <x:v>0</x:v>
      </x:c>
      <x:c r="AK9" s="37" t="n">
        <x:f>IF($V9="无效","",IF(O9="",0,O9/$U9*100))</x:f>
        <x:v>0</x:v>
      </x:c>
      <x:c r="AL9" s="37" t="n">
        <x:f>IF(V9="有效",SUM(X9:AK9),"")</x:f>
        <x:v>100</x:v>
      </x:c>
    </x:row>
    <x:row r="10">
      <x:c r="A10" s="32" t="str">
        <x:v>07</x:v>
      </x:c>
      <x:c r="B10" s="33" t="n">
        <x:v>92.63</x:v>
      </x:c>
      <x:c r="C10" s="33"/>
      <x:c r="D10" s="33"/>
      <x:c r="E10" s="33" t="n">
        <x:v>1.07</x:v>
      </x:c>
      <x:c r="F10" s="33"/>
      <x:c r="G10" s="33" t="n">
        <x:v>1.98</x:v>
      </x:c>
      <x:c r="H10" s="33" t="n">
        <x:v>0.17</x:v>
      </x:c>
      <x:c r="I10" s="33" t="n">
        <x:v>3.24</x:v>
      </x:c>
      <x:c r="J10" s="33"/>
      <x:c r="K10" s="33"/>
      <x:c r="L10" s="33" t="n">
        <x:v>0.61</x:v>
      </x:c>
      <x:c r="M10" s="33"/>
      <x:c r="N10" s="33"/>
      <x:c r="O10" s="33"/>
      <x:c r="P10" s="38" t="str">
        <x:v>07</x:v>
      </x:c>
      <x:c r="Q10" s="24" t="str">
        <x:f>IF(ISNUMBER(SEARCH("未风化点",A10)),"未风化点",IF(ISNUMBER(SEARCH("严重风化点",A10)),"严重风化点",IF(ISNUMBER(SEARCH("部位",A10)),"不同部位","普通采样点")))</x:f>
        <x:v>普通采样点</x:v>
      </x:c>
      <x:c r="R10" s="24" t="str">
        <x:f>VLOOKUP(P10,'表单1_清洗'!$A$2:$E$59,3,FALSE)</x:f>
        <x:v>高钾</x:v>
      </x:c>
      <x:c r="S10" s="24" t="str">
        <x:f>VLOOKUP(P10,'表单1_清洗'!$A$2:$E$59,5,FALSE)</x:f>
        <x:v>风化</x:v>
      </x:c>
      <x:c r="T10" s="24" t="str">
        <x:f>IF(ISNUMBER(SEARCH("未风化点",A10)),"无风化",IF(ISNUMBER(SEARCH("严重风化点",A10)),"风化",S10))</x:f>
        <x:v>风化</x:v>
      </x:c>
      <x:c r="U10" s="36" t="n">
        <x:f>SUM(B10:O10)</x:f>
        <x:v>99.69999999999999</x:v>
      </x:c>
      <x:c r="V10" s="24" t="str">
        <x:f>IF(AND(U10&gt;=85,U10&lt;=105),"有效","无效")</x:f>
        <x:v>有效</x:v>
      </x:c>
      <x:c r="W10" s="24" t="n">
        <x:f>COUNTBLANK(B10:O10)+COUNTIF(B10:O10,0)</x:f>
        <x:v>8</x:v>
      </x:c>
      <x:c r="X10" s="37" t="n">
        <x:f>IF($V10="无效","",IF(B10="",0,B10/$U10*100))</x:f>
        <x:v>92.90872617853562</x:v>
      </x:c>
      <x:c r="Y10" s="37" t="n">
        <x:f>IF($V10="无效","",IF(C10="",0,C10/$U10*100))</x:f>
        <x:v>0</x:v>
      </x:c>
      <x:c r="Z10" s="37" t="n">
        <x:f>IF($V10="无效","",IF(D10="",0,D10/$U10*100))</x:f>
        <x:v>0</x:v>
      </x:c>
      <x:c r="AA10" s="37" t="n">
        <x:f>IF($V10="无效","",IF(E10="",0,E10/$U10*100))</x:f>
        <x:v>1.073219658976931</x:v>
      </x:c>
      <x:c r="AB10" s="37" t="n">
        <x:f>IF($V10="无效","",IF(F10="",0,F10/$U10*100))</x:f>
        <x:v>0</x:v>
      </x:c>
      <x:c r="AC10" s="37" t="n">
        <x:f>IF($V10="无效","",IF(G10="",0,G10/$U10*100))</x:f>
        <x:v>1.9859578736208627</x:v>
      </x:c>
      <x:c r="AD10" s="37" t="n">
        <x:f>IF($V10="无效","",IF(H10="",0,H10/$U10*100))</x:f>
        <x:v>0.17051153460381147</x:v>
      </x:c>
      <x:c r="AE10" s="37" t="n">
        <x:f>IF($V10="无效","",IF(I10="",0,I10/$U10*100))</x:f>
        <x:v>3.2497492477432304</x:v>
      </x:c>
      <x:c r="AF10" s="37" t="n">
        <x:f>IF($V10="无效","",IF(J10="",0,J10/$U10*100))</x:f>
        <x:v>0</x:v>
      </x:c>
      <x:c r="AG10" s="37" t="n">
        <x:f>IF($V10="无效","",IF(K10="",0,K10/$U10*100))</x:f>
        <x:v>0</x:v>
      </x:c>
      <x:c r="AH10" s="37" t="n">
        <x:f>IF($V10="无效","",IF(L10="",0,L10/$U10*100))</x:f>
        <x:v>0.6118355065195588</x:v>
      </x:c>
      <x:c r="AI10" s="37" t="n">
        <x:f>IF($V10="无效","",IF(M10="",0,M10/$U10*100))</x:f>
        <x:v>0</x:v>
      </x:c>
      <x:c r="AJ10" s="37" t="n">
        <x:f>IF($V10="无效","",IF(N10="",0,N10/$U10*100))</x:f>
        <x:v>0</x:v>
      </x:c>
      <x:c r="AK10" s="37" t="n">
        <x:f>IF($V10="无效","",IF(O10="",0,O10/$U10*100))</x:f>
        <x:v>0</x:v>
      </x:c>
      <x:c r="AL10" s="37" t="n">
        <x:f>IF(V10="有效",SUM(X10:AK10),"")</x:f>
        <x:v>100</x:v>
      </x:c>
    </x:row>
    <x:row r="11">
      <x:c r="A11" s="32" t="str">
        <x:v>08</x:v>
      </x:c>
      <x:c r="B11" s="33" t="n">
        <x:v>20.14</x:v>
      </x:c>
      <x:c r="C11" s="33"/>
      <x:c r="D11" s="33"/>
      <x:c r="E11" s="33" t="n">
        <x:v>1.48</x:v>
      </x:c>
      <x:c r="F11" s="33"/>
      <x:c r="G11" s="33" t="n">
        <x:v>1.34</x:v>
      </x:c>
      <x:c r="H11" s="33"/>
      <x:c r="I11" s="33" t="n">
        <x:v>10.41</x:v>
      </x:c>
      <x:c r="J11" s="33" t="n">
        <x:v>28.68</x:v>
      </x:c>
      <x:c r="K11" s="33" t="n">
        <x:v>31.23</x:v>
      </x:c>
      <x:c r="L11" s="33" t="n">
        <x:v>3.59</x:v>
      </x:c>
      <x:c r="M11" s="33" t="n">
        <x:v>0.37</x:v>
      </x:c>
      <x:c r="N11" s="33"/>
      <x:c r="O11" s="33" t="n">
        <x:v>2.58</x:v>
      </x:c>
      <x:c r="P11" s="38" t="str">
        <x:v>08</x:v>
      </x:c>
      <x:c r="Q11" s="24" t="str">
        <x:f>IF(ISNUMBER(SEARCH("未风化点",A11)),"未风化点",IF(ISNUMBER(SEARCH("严重风化点",A11)),"严重风化点",IF(ISNUMBER(SEARCH("部位",A11)),"不同部位","普通采样点")))</x:f>
        <x:v>普通采样点</x:v>
      </x:c>
      <x:c r="R11" s="24" t="str">
        <x:f>VLOOKUP(P11,'表单1_清洗'!$A$2:$E$59,3,FALSE)</x:f>
        <x:v>铅钡</x:v>
      </x:c>
      <x:c r="S11" s="24" t="str">
        <x:f>VLOOKUP(P11,'表单1_清洗'!$A$2:$E$59,5,FALSE)</x:f>
        <x:v>风化</x:v>
      </x:c>
      <x:c r="T11" s="24" t="str">
        <x:f>IF(ISNUMBER(SEARCH("未风化点",A11)),"无风化",IF(ISNUMBER(SEARCH("严重风化点",A11)),"风化",S11))</x:f>
        <x:v>风化</x:v>
      </x:c>
      <x:c r="U11" s="36" t="n">
        <x:f>SUM(B11:O11)</x:f>
        <x:v>99.82000000000001</x:v>
      </x:c>
      <x:c r="V11" s="24" t="str">
        <x:f>IF(AND(U11&gt;=85,U11&lt;=105),"有效","无效")</x:f>
        <x:v>有效</x:v>
      </x:c>
      <x:c r="W11" s="24" t="n">
        <x:f>COUNTBLANK(B11:O11)+COUNTIF(B11:O11,0)</x:f>
        <x:v>5</x:v>
      </x:c>
      <x:c r="X11" s="37" t="n">
        <x:f>IF($V11="无效","",IF(B11="",0,B11/$U11*100))</x:f>
        <x:v>20.176317371268283</x:v>
      </x:c>
      <x:c r="Y11" s="37" t="n">
        <x:f>IF($V11="无效","",IF(C11="",0,C11/$U11*100))</x:f>
        <x:v>0</x:v>
      </x:c>
      <x:c r="Z11" s="37" t="n">
        <x:f>IF($V11="无效","",IF(D11="",0,D11/$U11*100))</x:f>
        <x:v>0</x:v>
      </x:c>
      <x:c r="AA11" s="37" t="n">
        <x:f>IF($V11="无效","",IF(E11="",0,E11/$U11*100))</x:f>
        <x:v>1.4826688038469242</x:v>
      </x:c>
      <x:c r="AB11" s="37" t="n">
        <x:f>IF($V11="无效","",IF(F11="",0,F11/$U11*100))</x:f>
        <x:v>0</x:v>
      </x:c>
      <x:c r="AC11" s="37" t="n">
        <x:f>IF($V11="无效","",IF(G11="",0,G11/$U11*100))</x:f>
        <x:v>1.342416349428972</x:v>
      </x:c>
      <x:c r="AD11" s="37" t="n">
        <x:f>IF($V11="无效","",IF(H11="",0,H11/$U11*100))</x:f>
        <x:v>0</x:v>
      </x:c>
      <x:c r="AE11" s="37" t="n">
        <x:f>IF($V11="无效","",IF(I11="",0,I11/$U11*100))</x:f>
        <x:v>10.428771789220596</x:v>
      </x:c>
      <x:c r="AF11" s="37" t="n">
        <x:f>IF($V11="无效","",IF(J11="",0,J11/$U11*100))</x:f>
        <x:v>28.73171709076337</x:v>
      </x:c>
      <x:c r="AG11" s="37" t="n">
        <x:f>IF($V11="无效","",IF(K11="",0,K11/$U11*100))</x:f>
        <x:v>31.28631536766179</x:v>
      </x:c>
      <x:c r="AH11" s="37" t="n">
        <x:f>IF($V11="无效","",IF(L11="",0,L11/$U11*100))</x:f>
        <x:v>3.596473652574634</x:v>
      </x:c>
      <x:c r="AI11" s="37" t="n">
        <x:f>IF($V11="无效","",IF(M11="",0,M11/$U11*100))</x:f>
        <x:v>0.37066720096173106</x:v>
      </x:c>
      <x:c r="AJ11" s="37" t="n">
        <x:f>IF($V11="无效","",IF(N11="",0,N11/$U11*100))</x:f>
        <x:v>0</x:v>
      </x:c>
      <x:c r="AK11" s="37" t="n">
        <x:f>IF($V11="无效","",IF(O11="",0,O11/$U11*100))</x:f>
        <x:v>2.584652374273692</x:v>
      </x:c>
      <x:c r="AL11" s="37" t="n">
        <x:f>IF(V11="有效",SUM(X11:AK11),"")</x:f>
        <x:v>99.99999999999999</x:v>
      </x:c>
    </x:row>
    <x:row r="12">
      <x:c r="A12" s="32" t="str">
        <x:v>08严重风化点</x:v>
      </x:c>
      <x:c r="B12" s="33" t="n">
        <x:v>4.61</x:v>
      </x:c>
      <x:c r="C12" s="33"/>
      <x:c r="D12" s="33"/>
      <x:c r="E12" s="33" t="n">
        <x:v>3.19</x:v>
      </x:c>
      <x:c r="F12" s="33"/>
      <x:c r="G12" s="33" t="n">
        <x:v>1.11</x:v>
      </x:c>
      <x:c r="H12" s="33"/>
      <x:c r="I12" s="33" t="n">
        <x:v>3.14</x:v>
      </x:c>
      <x:c r="J12" s="33" t="n">
        <x:v>32.45</x:v>
      </x:c>
      <x:c r="K12" s="33" t="n">
        <x:v>30.62</x:v>
      </x:c>
      <x:c r="L12" s="33" t="n">
        <x:v>7.56</x:v>
      </x:c>
      <x:c r="M12" s="33" t="n">
        <x:v>0.53</x:v>
      </x:c>
      <x:c r="N12" s="33"/>
      <x:c r="O12" s="33" t="n">
        <x:v>15.03</x:v>
      </x:c>
      <x:c r="P12" s="38" t="str">
        <x:v>08</x:v>
      </x:c>
      <x:c r="Q12" s="24" t="str">
        <x:f>IF(ISNUMBER(SEARCH("未风化点",A12)),"未风化点",IF(ISNUMBER(SEARCH("严重风化点",A12)),"严重风化点",IF(ISNUMBER(SEARCH("部位",A12)),"不同部位","普通采样点")))</x:f>
        <x:v>严重风化点</x:v>
      </x:c>
      <x:c r="R12" s="24" t="str">
        <x:f>VLOOKUP(P12,'表单1_清洗'!$A$2:$E$59,3,FALSE)</x:f>
        <x:v>铅钡</x:v>
      </x:c>
      <x:c r="S12" s="24" t="str">
        <x:f>VLOOKUP(P12,'表单1_清洗'!$A$2:$E$59,5,FALSE)</x:f>
        <x:v>风化</x:v>
      </x:c>
      <x:c r="T12" s="24" t="str">
        <x:f>IF(ISNUMBER(SEARCH("未风化点",A12)),"无风化",IF(ISNUMBER(SEARCH("严重风化点",A12)),"风化",S12))</x:f>
        <x:v>风化</x:v>
      </x:c>
      <x:c r="U12" s="36" t="n">
        <x:f>SUM(B12:O12)</x:f>
        <x:v>98.24000000000001</x:v>
      </x:c>
      <x:c r="V12" s="24" t="str">
        <x:f>IF(AND(U12&gt;=85,U12&lt;=105),"有效","无效")</x:f>
        <x:v>有效</x:v>
      </x:c>
      <x:c r="W12" s="24" t="n">
        <x:f>COUNTBLANK(B12:O12)+COUNTIF(B12:O12,0)</x:f>
        <x:v>5</x:v>
      </x:c>
      <x:c r="X12" s="37" t="n">
        <x:f>IF($V12="无效","",IF(B12="",0,B12/$U12*100))</x:f>
        <x:v>4.692589576547231</x:v>
      </x:c>
      <x:c r="Y12" s="37" t="n">
        <x:f>IF($V12="无效","",IF(C12="",0,C12/$U12*100))</x:f>
        <x:v>0</x:v>
      </x:c>
      <x:c r="Z12" s="37" t="n">
        <x:f>IF($V12="无效","",IF(D12="",0,D12/$U12*100))</x:f>
        <x:v>0</x:v>
      </x:c>
      <x:c r="AA12" s="37" t="n">
        <x:f>IF($V12="无效","",IF(E12="",0,E12/$U12*100))</x:f>
        <x:v>3.24714983713355</x:v>
      </x:c>
      <x:c r="AB12" s="37" t="n">
        <x:f>IF($V12="无效","",IF(F12="",0,F12/$U12*100))</x:f>
        <x:v>0</x:v>
      </x:c>
      <x:c r="AC12" s="37" t="n">
        <x:f>IF($V12="无效","",IF(G12="",0,G12/$U12*100))</x:f>
        <x:v>1.129885993485342</x:v>
      </x:c>
      <x:c r="AD12" s="37" t="n">
        <x:f>IF($V12="无效","",IF(H12="",0,H12/$U12*100))</x:f>
        <x:v>0</x:v>
      </x:c>
      <x:c r="AE12" s="37" t="n">
        <x:f>IF($V12="无效","",IF(I12="",0,I12/$U12*100))</x:f>
        <x:v>3.196254071661238</x:v>
      </x:c>
      <x:c r="AF12" s="37" t="n">
        <x:f>IF($V12="无效","",IF(J12="",0,J12/$U12*100))</x:f>
        <x:v>33.031351791530945</x:v>
      </x:c>
      <x:c r="AG12" s="37" t="n">
        <x:f>IF($V12="无效","",IF(K12="",0,K12/$U12*100))</x:f>
        <x:v>31.1685667752443</x:v>
      </x:c>
      <x:c r="AH12" s="37" t="n">
        <x:f>IF($V12="无效","",IF(L12="",0,L12/$U12*100))</x:f>
        <x:v>7.69543973941368</x:v>
      </x:c>
      <x:c r="AI12" s="37" t="n">
        <x:f>IF($V12="无效","",IF(M12="",0,M12/$U12*100))</x:f>
        <x:v>0.5394951140065146</x:v>
      </x:c>
      <x:c r="AJ12" s="37" t="n">
        <x:f>IF($V12="无效","",IF(N12="",0,N12/$U12*100))</x:f>
        <x:v>0</x:v>
      </x:c>
      <x:c r="AK12" s="37" t="n">
        <x:f>IF($V12="无效","",IF(O12="",0,O12/$U12*100))</x:f>
        <x:v>15.299267100977195</x:v>
      </x:c>
      <x:c r="AL12" s="37" t="n">
        <x:f>IF(V12="有效",SUM(X12:AK12),"")</x:f>
        <x:v>100</x:v>
      </x:c>
    </x:row>
    <x:row r="13">
      <x:c r="A13" s="32" t="str">
        <x:v>09</x:v>
      </x:c>
      <x:c r="B13" s="33" t="n">
        <x:v>95.02</x:v>
      </x:c>
      <x:c r="C13" s="33"/>
      <x:c r="D13" s="33" t="n">
        <x:v>0.59</x:v>
      </x:c>
      <x:c r="E13" s="33" t="n">
        <x:v>0.62</x:v>
      </x:c>
      <x:c r="F13" s="33"/>
      <x:c r="G13" s="33" t="n">
        <x:v>1.32</x:v>
      </x:c>
      <x:c r="H13" s="33" t="n">
        <x:v>0.32</x:v>
      </x:c>
      <x:c r="I13" s="33" t="n">
        <x:v>1.55</x:v>
      </x:c>
      <x:c r="J13" s="33"/>
      <x:c r="K13" s="33"/>
      <x:c r="L13" s="33" t="n">
        <x:v>0.35</x:v>
      </x:c>
      <x:c r="M13" s="33"/>
      <x:c r="N13" s="33"/>
      <x:c r="O13" s="33"/>
      <x:c r="P13" s="38" t="str">
        <x:v>09</x:v>
      </x:c>
      <x:c r="Q13" s="24" t="str">
        <x:f>IF(ISNUMBER(SEARCH("未风化点",A13)),"未风化点",IF(ISNUMBER(SEARCH("严重风化点",A13)),"严重风化点",IF(ISNUMBER(SEARCH("部位",A13)),"不同部位","普通采样点")))</x:f>
        <x:v>普通采样点</x:v>
      </x:c>
      <x:c r="R13" s="24" t="str">
        <x:f>VLOOKUP(P13,'表单1_清洗'!$A$2:$E$59,3,FALSE)</x:f>
        <x:v>高钾</x:v>
      </x:c>
      <x:c r="S13" s="24" t="str">
        <x:f>VLOOKUP(P13,'表单1_清洗'!$A$2:$E$59,5,FALSE)</x:f>
        <x:v>风化</x:v>
      </x:c>
      <x:c r="T13" s="24" t="str">
        <x:f>IF(ISNUMBER(SEARCH("未风化点",A13)),"无风化",IF(ISNUMBER(SEARCH("严重风化点",A13)),"风化",S13))</x:f>
        <x:v>风化</x:v>
      </x:c>
      <x:c r="U13" s="36" t="n">
        <x:f>SUM(B13:O13)</x:f>
        <x:v>99.76999999999998</x:v>
      </x:c>
      <x:c r="V13" s="24" t="str">
        <x:f>IF(AND(U13&gt;=85,U13&lt;=105),"有效","无效")</x:f>
        <x:v>有效</x:v>
      </x:c>
      <x:c r="W13" s="24" t="n">
        <x:f>COUNTBLANK(B13:O13)+COUNTIF(B13:O13,0)</x:f>
        <x:v>7</x:v>
      </x:c>
      <x:c r="X13" s="37" t="n">
        <x:f>IF($V13="无效","",IF(B13="",0,B13/$U13*100))</x:f>
        <x:v>95.23904981457353</x:v>
      </x:c>
      <x:c r="Y13" s="37" t="n">
        <x:f>IF($V13="无效","",IF(C13="",0,C13/$U13*100))</x:f>
        <x:v>0</x:v>
      </x:c>
      <x:c r="Z13" s="37" t="n">
        <x:f>IF($V13="无效","",IF(D13="",0,D13/$U13*100))</x:f>
        <x:v>0.5913601282950788</x:v>
      </x:c>
      <x:c r="AA13" s="37" t="n">
        <x:f>IF($V13="无效","",IF(E13="",0,E13/$U13*100))</x:f>
        <x:v>0.6214292873609303</x:v>
      </x:c>
      <x:c r="AB13" s="37" t="n">
        <x:f>IF($V13="无效","",IF(F13="",0,F13/$U13*100))</x:f>
        <x:v>0</x:v>
      </x:c>
      <x:c r="AC13" s="37" t="n">
        <x:f>IF($V13="无效","",IF(G13="",0,G13/$U13*100))</x:f>
        <x:v>1.3230429988974646</x:v>
      </x:c>
      <x:c r="AD13" s="37" t="n">
        <x:f>IF($V13="无效","",IF(H13="",0,H13/$U13*100))</x:f>
        <x:v>0.3207376967024156</x:v>
      </x:c>
      <x:c r="AE13" s="37" t="n">
        <x:f>IF($V13="无效","",IF(I13="",0,I13/$U13*100))</x:f>
        <x:v>1.5535732184023257</x:v>
      </x:c>
      <x:c r="AF13" s="37" t="n">
        <x:f>IF($V13="无效","",IF(J13="",0,J13/$U13*100))</x:f>
        <x:v>0</x:v>
      </x:c>
      <x:c r="AG13" s="37" t="n">
        <x:f>IF($V13="无效","",IF(K13="",0,K13/$U13*100))</x:f>
        <x:v>0</x:v>
      </x:c>
      <x:c r="AH13" s="37" t="n">
        <x:f>IF($V13="无效","",IF(L13="",0,L13/$U13*100))</x:f>
        <x:v>0.35080685576826703</x:v>
      </x:c>
      <x:c r="AI13" s="37" t="n">
        <x:f>IF($V13="无效","",IF(M13="",0,M13/$U13*100))</x:f>
        <x:v>0</x:v>
      </x:c>
      <x:c r="AJ13" s="37" t="n">
        <x:f>IF($V13="无效","",IF(N13="",0,N13/$U13*100))</x:f>
        <x:v>0</x:v>
      </x:c>
      <x:c r="AK13" s="37" t="n">
        <x:f>IF($V13="无效","",IF(O13="",0,O13/$U13*100))</x:f>
        <x:v>0</x:v>
      </x:c>
      <x:c r="AL13" s="37" t="n">
        <x:f>IF(V13="有效",SUM(X13:AK13),"")</x:f>
        <x:v>100</x:v>
      </x:c>
    </x:row>
    <x:row r="14">
      <x:c r="A14" s="32" t="str">
        <x:v>10</x:v>
      </x:c>
      <x:c r="B14" s="33" t="n">
        <x:v>96.77</x:v>
      </x:c>
      <x:c r="C14" s="33"/>
      <x:c r="D14" s="33" t="n">
        <x:v>0.92</x:v>
      </x:c>
      <x:c r="E14" s="33" t="n">
        <x:v>0.21</x:v>
      </x:c>
      <x:c r="F14" s="33"/>
      <x:c r="G14" s="33" t="n">
        <x:v>0.81</x:v>
      </x:c>
      <x:c r="H14" s="33" t="n">
        <x:v>0.26</x:v>
      </x:c>
      <x:c r="I14" s="33" t="n">
        <x:v>0.84</x:v>
      </x:c>
      <x:c r="J14" s="33"/>
      <x:c r="K14" s="33"/>
      <x:c r="L14" s="33"/>
      <x:c r="M14" s="33"/>
      <x:c r="N14" s="33"/>
      <x:c r="O14" s="33"/>
      <x:c r="P14" s="38" t="str">
        <x:v>10</x:v>
      </x:c>
      <x:c r="Q14" s="24" t="str">
        <x:f>IF(ISNUMBER(SEARCH("未风化点",A14)),"未风化点",IF(ISNUMBER(SEARCH("严重风化点",A14)),"严重风化点",IF(ISNUMBER(SEARCH("部位",A14)),"不同部位","普通采样点")))</x:f>
        <x:v>普通采样点</x:v>
      </x:c>
      <x:c r="R14" s="24" t="str">
        <x:f>VLOOKUP(P14,'表单1_清洗'!$A$2:$E$59,3,FALSE)</x:f>
        <x:v>高钾</x:v>
      </x:c>
      <x:c r="S14" s="24" t="str">
        <x:f>VLOOKUP(P14,'表单1_清洗'!$A$2:$E$59,5,FALSE)</x:f>
        <x:v>风化</x:v>
      </x:c>
      <x:c r="T14" s="24" t="str">
        <x:f>IF(ISNUMBER(SEARCH("未风化点",A14)),"无风化",IF(ISNUMBER(SEARCH("严重风化点",A14)),"风化",S14))</x:f>
        <x:v>风化</x:v>
      </x:c>
      <x:c r="U14" s="36" t="n">
        <x:f>SUM(B14:O14)</x:f>
        <x:v>99.81</x:v>
      </x:c>
      <x:c r="V14" s="24" t="str">
        <x:f>IF(AND(U14&gt;=85,U14&lt;=105),"有效","无效")</x:f>
        <x:v>有效</x:v>
      </x:c>
      <x:c r="W14" s="24" t="n">
        <x:f>COUNTBLANK(B14:O14)+COUNTIF(B14:O14,0)</x:f>
        <x:v>8</x:v>
      </x:c>
      <x:c r="X14" s="37" t="n">
        <x:f>IF($V14="无效","",IF(B14="",0,B14/$U14*100))</x:f>
        <x:v>96.95421300470895</x:v>
      </x:c>
      <x:c r="Y14" s="37" t="n">
        <x:f>IF($V14="无效","",IF(C14="",0,C14/$U14*100))</x:f>
        <x:v>0</x:v>
      </x:c>
      <x:c r="Z14" s="37" t="n">
        <x:f>IF($V14="无效","",IF(D14="",0,D14/$U14*100))</x:f>
        <x:v>0.9217513275222924</x:v>
      </x:c>
      <x:c r="AA14" s="37" t="n">
        <x:f>IF($V14="无效","",IF(E14="",0,E14/$U14*100))</x:f>
        <x:v>0.21039975954313195</x:v>
      </x:c>
      <x:c r="AB14" s="37" t="n">
        <x:f>IF($V14="无效","",IF(F14="",0,F14/$U14*100))</x:f>
        <x:v>0</x:v>
      </x:c>
      <x:c r="AC14" s="37" t="n">
        <x:f>IF($V14="无效","",IF(G14="",0,G14/$U14*100))</x:f>
        <x:v>0.8115419296663661</x:v>
      </x:c>
      <x:c r="AD14" s="37" t="n">
        <x:f>IF($V14="无效","",IF(H14="",0,H14/$U14*100))</x:f>
        <x:v>0.2604949403867348</x:v>
      </x:c>
      <x:c r="AE14" s="37" t="n">
        <x:f>IF($V14="无效","",IF(I14="",0,I14/$U14*100))</x:f>
        <x:v>0.8415990381725278</x:v>
      </x:c>
      <x:c r="AF14" s="37" t="n">
        <x:f>IF($V14="无效","",IF(J14="",0,J14/$U14*100))</x:f>
        <x:v>0</x:v>
      </x:c>
      <x:c r="AG14" s="37" t="n">
        <x:f>IF($V14="无效","",IF(K14="",0,K14/$U14*100))</x:f>
        <x:v>0</x:v>
      </x:c>
      <x:c r="AH14" s="37" t="n">
        <x:f>IF($V14="无效","",IF(L14="",0,L14/$U14*100))</x:f>
        <x:v>0</x:v>
      </x:c>
      <x:c r="AI14" s="37" t="n">
        <x:f>IF($V14="无效","",IF(M14="",0,M14/$U14*100))</x:f>
        <x:v>0</x:v>
      </x:c>
      <x:c r="AJ14" s="37" t="n">
        <x:f>IF($V14="无效","",IF(N14="",0,N14/$U14*100))</x:f>
        <x:v>0</x:v>
      </x:c>
      <x:c r="AK14" s="37" t="n">
        <x:f>IF($V14="无效","",IF(O14="",0,O14/$U14*100))</x:f>
        <x:v>0</x:v>
      </x:c>
      <x:c r="AL14" s="37" t="n">
        <x:f>IF(V14="有效",SUM(X14:AK14),"")</x:f>
        <x:v>100</x:v>
      </x:c>
    </x:row>
    <x:row r="15">
      <x:c r="A15" s="32" t="str">
        <x:v>11</x:v>
      </x:c>
      <x:c r="B15" s="33" t="n">
        <x:v>33.59</x:v>
      </x:c>
      <x:c r="C15" s="33"/>
      <x:c r="D15" s="33" t="n">
        <x:v>0.21</x:v>
      </x:c>
      <x:c r="E15" s="33" t="n">
        <x:v>3.51</x:v>
      </x:c>
      <x:c r="F15" s="33" t="n">
        <x:v>0.71</x:v>
      </x:c>
      <x:c r="G15" s="33" t="n">
        <x:v>2.69</x:v>
      </x:c>
      <x:c r="H15" s="33"/>
      <x:c r="I15" s="33" t="n">
        <x:v>4.93</x:v>
      </x:c>
      <x:c r="J15" s="33" t="n">
        <x:v>25.39</x:v>
      </x:c>
      <x:c r="K15" s="33" t="n">
        <x:v>14.61</x:v>
      </x:c>
      <x:c r="L15" s="33" t="n">
        <x:v>9.38</x:v>
      </x:c>
      <x:c r="M15" s="33" t="n">
        <x:v>0.37</x:v>
      </x:c>
      <x:c r="N15" s="33"/>
      <x:c r="O15" s="33"/>
      <x:c r="P15" s="38" t="str">
        <x:v>11</x:v>
      </x:c>
      <x:c r="Q15" s="24" t="str">
        <x:f>IF(ISNUMBER(SEARCH("未风化点",A15)),"未风化点",IF(ISNUMBER(SEARCH("严重风化点",A15)),"严重风化点",IF(ISNUMBER(SEARCH("部位",A15)),"不同部位","普通采样点")))</x:f>
        <x:v>普通采样点</x:v>
      </x:c>
      <x:c r="R15" s="24" t="str">
        <x:f>VLOOKUP(P15,'表单1_清洗'!$A$2:$E$59,3,FALSE)</x:f>
        <x:v>铅钡</x:v>
      </x:c>
      <x:c r="S15" s="24" t="str">
        <x:f>VLOOKUP(P15,'表单1_清洗'!$A$2:$E$59,5,FALSE)</x:f>
        <x:v>风化</x:v>
      </x:c>
      <x:c r="T15" s="24" t="str">
        <x:f>IF(ISNUMBER(SEARCH("未风化点",A15)),"无风化",IF(ISNUMBER(SEARCH("严重风化点",A15)),"风化",S15))</x:f>
        <x:v>风化</x:v>
      </x:c>
      <x:c r="U15" s="36" t="n">
        <x:f>SUM(B15:O15)</x:f>
        <x:v>95.39</x:v>
      </x:c>
      <x:c r="V15" s="24" t="str">
        <x:f>IF(AND(U15&gt;=85,U15&lt;=105),"有效","无效")</x:f>
        <x:v>有效</x:v>
      </x:c>
      <x:c r="W15" s="24" t="n">
        <x:f>COUNTBLANK(B15:O15)+COUNTIF(B15:O15,0)</x:f>
        <x:v>4</x:v>
      </x:c>
      <x:c r="X15" s="37" t="n">
        <x:f>IF($V15="无效","",IF(B15="",0,B15/$U15*100))</x:f>
        <x:v>35.21333473110389</x:v>
      </x:c>
      <x:c r="Y15" s="37" t="n">
        <x:f>IF($V15="无效","",IF(C15="",0,C15/$U15*100))</x:f>
        <x:v>0</x:v>
      </x:c>
      <x:c r="Z15" s="37" t="n">
        <x:f>IF($V15="无效","",IF(D15="",0,D15/$U15*100))</x:f>
        <x:v>0.22014886256421007</x:v>
      </x:c>
      <x:c r="AA15" s="37" t="n">
        <x:f>IF($V15="无效","",IF(E15="",0,E15/$U15*100))</x:f>
        <x:v>3.679630988573226</x:v>
      </x:c>
      <x:c r="AB15" s="37" t="n">
        <x:f>IF($V15="无效","",IF(F15="",0,F15/$U15*100))</x:f>
        <x:v>0.7443128210504245</x:v>
      </x:c>
      <x:c r="AC15" s="37" t="n">
        <x:f>IF($V15="无效","",IF(G15="",0,G15/$U15*100))</x:f>
        <x:v>2.820002096655834</x:v>
      </x:c>
      <x:c r="AD15" s="37" t="n">
        <x:f>IF($V15="无效","",IF(H15="",0,H15/$U15*100))</x:f>
        <x:v>0</x:v>
      </x:c>
      <x:c r="AE15" s="37" t="n">
        <x:f>IF($V15="无效","",IF(I15="",0,I15/$U15*100))</x:f>
        <x:v>5.168256630674074</x:v>
      </x:c>
      <x:c r="AF15" s="37" t="n">
        <x:f>IF($V15="无效","",IF(J15="",0,J15/$U15*100))</x:f>
        <x:v>26.617045811929973</x:v>
      </x:c>
      <x:c r="AG15" s="37" t="n">
        <x:f>IF($V15="无效","",IF(K15="",0,K15/$U15*100))</x:f>
        <x:v>15.316070866967188</x:v>
      </x:c>
      <x:c r="AH15" s="37" t="n">
        <x:f>IF($V15="无效","",IF(L15="",0,L15/$U15*100))</x:f>
        <x:v>9.833315861201385</x:v>
      </x:c>
      <x:c r="AI15" s="37" t="n">
        <x:f>IF($V15="无效","",IF(M15="",0,M15/$U15*100))</x:f>
        <x:v>0.38788132927979874</x:v>
      </x:c>
      <x:c r="AJ15" s="37" t="n">
        <x:f>IF($V15="无效","",IF(N15="",0,N15/$U15*100))</x:f>
        <x:v>0</x:v>
      </x:c>
      <x:c r="AK15" s="37" t="n">
        <x:f>IF($V15="无效","",IF(O15="",0,O15/$U15*100))</x:f>
        <x:v>0</x:v>
      </x:c>
      <x:c r="AL15" s="37" t="n">
        <x:f>IF(V15="有效",SUM(X15:AK15),"")</x:f>
        <x:v>100</x:v>
      </x:c>
    </x:row>
    <x:row r="16">
      <x:c r="A16" s="32" t="str">
        <x:v>12</x:v>
      </x:c>
      <x:c r="B16" s="33" t="n">
        <x:v>94.29</x:v>
      </x:c>
      <x:c r="C16" s="33"/>
      <x:c r="D16" s="33" t="n">
        <x:v>1.01</x:v>
      </x:c>
      <x:c r="E16" s="33" t="n">
        <x:v>0.72</x:v>
      </x:c>
      <x:c r="F16" s="33"/>
      <x:c r="G16" s="33" t="n">
        <x:v>1.46</x:v>
      </x:c>
      <x:c r="H16" s="33" t="n">
        <x:v>0.29</x:v>
      </x:c>
      <x:c r="I16" s="33" t="n">
        <x:v>1.65</x:v>
      </x:c>
      <x:c r="J16" s="33"/>
      <x:c r="K16" s="33"/>
      <x:c r="L16" s="33" t="n">
        <x:v>0.15</x:v>
      </x:c>
      <x:c r="M16" s="33"/>
      <x:c r="N16" s="33"/>
      <x:c r="O16" s="33"/>
      <x:c r="P16" s="38" t="str">
        <x:v>12</x:v>
      </x:c>
      <x:c r="Q16" s="24" t="str">
        <x:f>IF(ISNUMBER(SEARCH("未风化点",A16)),"未风化点",IF(ISNUMBER(SEARCH("严重风化点",A16)),"严重风化点",IF(ISNUMBER(SEARCH("部位",A16)),"不同部位","普通采样点")))</x:f>
        <x:v>普通采样点</x:v>
      </x:c>
      <x:c r="R16" s="24" t="str">
        <x:f>VLOOKUP(P16,'表单1_清洗'!$A$2:$E$59,3,FALSE)</x:f>
        <x:v>高钾</x:v>
      </x:c>
      <x:c r="S16" s="24" t="str">
        <x:f>VLOOKUP(P16,'表单1_清洗'!$A$2:$E$59,5,FALSE)</x:f>
        <x:v>风化</x:v>
      </x:c>
      <x:c r="T16" s="24" t="str">
        <x:f>IF(ISNUMBER(SEARCH("未风化点",A16)),"无风化",IF(ISNUMBER(SEARCH("严重风化点",A16)),"风化",S16))</x:f>
        <x:v>风化</x:v>
      </x:c>
      <x:c r="U16" s="36" t="n">
        <x:f>SUM(B16:O16)</x:f>
        <x:v>99.57000000000002</x:v>
      </x:c>
      <x:c r="V16" s="24" t="str">
        <x:f>IF(AND(U16&gt;=85,U16&lt;=105),"有效","无效")</x:f>
        <x:v>有效</x:v>
      </x:c>
      <x:c r="W16" s="24" t="n">
        <x:f>COUNTBLANK(B16:O16)+COUNTIF(B16:O16,0)</x:f>
        <x:v>7</x:v>
      </x:c>
      <x:c r="X16" s="37" t="n">
        <x:f>IF($V16="无效","",IF(B16="",0,B16/$U16*100))</x:f>
        <x:v>94.6971979511901</x:v>
      </x:c>
      <x:c r="Y16" s="37" t="n">
        <x:f>IF($V16="无效","",IF(C16="",0,C16/$U16*100))</x:f>
        <x:v>0</x:v>
      </x:c>
      <x:c r="Z16" s="37" t="n">
        <x:f>IF($V16="无效","",IF(D16="",0,D16/$U16*100))</x:f>
        <x:v>1.0143617555488598</x:v>
      </x:c>
      <x:c r="AA16" s="37" t="n">
        <x:f>IF($V16="无效","",IF(E16="",0,E16/$U16*100))</x:f>
        <x:v>0.7231093702922565</x:v>
      </x:c>
      <x:c r="AB16" s="37" t="n">
        <x:f>IF($V16="无效","",IF(F16="",0,F16/$U16*100))</x:f>
        <x:v>0</x:v>
      </x:c>
      <x:c r="AC16" s="37" t="n">
        <x:f>IF($V16="无效","",IF(G16="",0,G16/$U16*100))</x:f>
        <x:v>1.46630511198152</x:v>
      </x:c>
      <x:c r="AD16" s="37" t="n">
        <x:f>IF($V16="无效","",IF(H16="",0,H16/$U16*100))</x:f>
        <x:v>0.2912523852566033</x:v>
      </x:c>
      <x:c r="AE16" s="37" t="n">
        <x:f>IF($V16="无效","",IF(I16="",0,I16/$U16*100))</x:f>
        <x:v>1.657125640253088</x:v>
      </x:c>
      <x:c r="AF16" s="37" t="n">
        <x:f>IF($V16="无效","",IF(J16="",0,J16/$U16*100))</x:f>
        <x:v>0</x:v>
      </x:c>
      <x:c r="AG16" s="37" t="n">
        <x:f>IF($V16="无效","",IF(K16="",0,K16/$U16*100))</x:f>
        <x:v>0</x:v>
      </x:c>
      <x:c r="AH16" s="37" t="n">
        <x:f>IF($V16="无效","",IF(L16="",0,L16/$U16*100))</x:f>
        <x:v>0.15064778547755345</x:v>
      </x:c>
      <x:c r="AI16" s="37" t="n">
        <x:f>IF($V16="无效","",IF(M16="",0,M16/$U16*100))</x:f>
        <x:v>0</x:v>
      </x:c>
      <x:c r="AJ16" s="37" t="n">
        <x:f>IF($V16="无效","",IF(N16="",0,N16/$U16*100))</x:f>
        <x:v>0</x:v>
      </x:c>
      <x:c r="AK16" s="37" t="n">
        <x:f>IF($V16="无效","",IF(O16="",0,O16/$U16*100))</x:f>
        <x:v>0</x:v>
      </x:c>
      <x:c r="AL16" s="37" t="n">
        <x:f>IF(V16="有效",SUM(X16:AK16),"")</x:f>
        <x:v>100</x:v>
      </x:c>
    </x:row>
    <x:row r="17">
      <x:c r="A17" s="32" t="str">
        <x:v>13</x:v>
      </x:c>
      <x:c r="B17" s="33" t="n">
        <x:v>59.01</x:v>
      </x:c>
      <x:c r="C17" s="33" t="n">
        <x:v>2.86</x:v>
      </x:c>
      <x:c r="D17" s="33" t="n">
        <x:v>12.53</x:v>
      </x:c>
      <x:c r="E17" s="33" t="n">
        <x:v>8.7</x:v>
      </x:c>
      <x:c r="F17" s="33"/>
      <x:c r="G17" s="33" t="n">
        <x:v>6.16</x:v>
      </x:c>
      <x:c r="H17" s="33" t="n">
        <x:v>2.88</x:v>
      </x:c>
      <x:c r="I17" s="33" t="n">
        <x:v>4.73</x:v>
      </x:c>
      <x:c r="J17" s="33"/>
      <x:c r="K17" s="33"/>
      <x:c r="L17" s="33" t="n">
        <x:v>1.27</x:v>
      </x:c>
      <x:c r="M17" s="33"/>
      <x:c r="N17" s="33"/>
      <x:c r="O17" s="33"/>
      <x:c r="P17" s="38" t="str">
        <x:v>13</x:v>
      </x:c>
      <x:c r="Q17" s="24" t="str">
        <x:f>IF(ISNUMBER(SEARCH("未风化点",A17)),"未风化点",IF(ISNUMBER(SEARCH("严重风化点",A17)),"严重风化点",IF(ISNUMBER(SEARCH("部位",A17)),"不同部位","普通采样点")))</x:f>
        <x:v>普通采样点</x:v>
      </x:c>
      <x:c r="R17" s="24" t="str">
        <x:f>VLOOKUP(P17,'表单1_清洗'!$A$2:$E$59,3,FALSE)</x:f>
        <x:v>高钾</x:v>
      </x:c>
      <x:c r="S17" s="24" t="str">
        <x:f>VLOOKUP(P17,'表单1_清洗'!$A$2:$E$59,5,FALSE)</x:f>
        <x:v>无风化</x:v>
      </x:c>
      <x:c r="T17" s="24" t="str">
        <x:f>IF(ISNUMBER(SEARCH("未风化点",A17)),"无风化",IF(ISNUMBER(SEARCH("严重风化点",A17)),"风化",S17))</x:f>
        <x:v>无风化</x:v>
      </x:c>
      <x:c r="U17" s="36" t="n">
        <x:f>SUM(B17:O17)</x:f>
        <x:v>98.13999999999999</x:v>
      </x:c>
      <x:c r="V17" s="24" t="str">
        <x:f>IF(AND(U17&gt;=85,U17&lt;=105),"有效","无效")</x:f>
        <x:v>有效</x:v>
      </x:c>
      <x:c r="W17" s="24" t="n">
        <x:f>COUNTBLANK(B17:O17)+COUNTIF(B17:O17,0)</x:f>
        <x:v>6</x:v>
      </x:c>
      <x:c r="X17" s="37" t="n">
        <x:f>IF($V17="无效","",IF(B17="",0,B17/$U17*100))</x:f>
        <x:v>60.128388017118404</x:v>
      </x:c>
      <x:c r="Y17" s="37" t="n">
        <x:f>IF($V17="无效","",IF(C17="",0,C17/$U17*100))</x:f>
        <x:v>2.9142041980843696</x:v>
      </x:c>
      <x:c r="Z17" s="37" t="n">
        <x:f>IF($V17="无效","",IF(D17="",0,D17/$U17*100))</x:f>
        <x:v>12.76747503566334</x:v>
      </x:c>
      <x:c r="AA17" s="37" t="n">
        <x:f>IF($V17="无效","",IF(E17="",0,E17/$U17*100))</x:f>
        <x:v>8.864886896270633</x:v>
      </x:c>
      <x:c r="AB17" s="37" t="n">
        <x:f>IF($V17="无效","",IF(F17="",0,F17/$U17*100))</x:f>
        <x:v>0</x:v>
      </x:c>
      <x:c r="AC17" s="37" t="n">
        <x:f>IF($V17="无效","",IF(G17="",0,G17/$U17*100))</x:f>
        <x:v>6.276747503566335</x:v>
      </x:c>
      <x:c r="AD17" s="37" t="n">
        <x:f>IF($V17="无效","",IF(H17="",0,H17/$U17*100))</x:f>
        <x:v>2.934583248420624</x:v>
      </x:c>
      <x:c r="AE17" s="37" t="n">
        <x:f>IF($V17="无效","",IF(I17="",0,I17/$U17*100))</x:f>
        <x:v>4.819645404524151</x:v>
      </x:c>
      <x:c r="AF17" s="37" t="n">
        <x:f>IF($V17="无效","",IF(J17="",0,J17/$U17*100))</x:f>
        <x:v>0</x:v>
      </x:c>
      <x:c r="AG17" s="37" t="n">
        <x:f>IF($V17="无效","",IF(K17="",0,K17/$U17*100))</x:f>
        <x:v>0</x:v>
      </x:c>
      <x:c r="AH17" s="37" t="n">
        <x:f>IF($V17="无效","",IF(L17="",0,L17/$U17*100))</x:f>
        <x:v>1.2940696963521503</x:v>
      </x:c>
      <x:c r="AI17" s="37" t="n">
        <x:f>IF($V17="无效","",IF(M17="",0,M17/$U17*100))</x:f>
        <x:v>0</x:v>
      </x:c>
      <x:c r="AJ17" s="37" t="n">
        <x:f>IF($V17="无效","",IF(N17="",0,N17/$U17*100))</x:f>
        <x:v>0</x:v>
      </x:c>
      <x:c r="AK17" s="37" t="n">
        <x:f>IF($V17="无效","",IF(O17="",0,O17/$U17*100))</x:f>
        <x:v>0</x:v>
      </x:c>
      <x:c r="AL17" s="37" t="n">
        <x:f>IF(V17="有效",SUM(X17:AK17),"")</x:f>
        <x:v>100.00000000000001</x:v>
      </x:c>
    </x:row>
    <x:row r="18">
      <x:c r="A18" s="32" t="str">
        <x:v>14</x:v>
      </x:c>
      <x:c r="B18" s="33" t="n">
        <x:v>62.47</x:v>
      </x:c>
      <x:c r="C18" s="33" t="n">
        <x:v>3.38</x:v>
      </x:c>
      <x:c r="D18" s="33" t="n">
        <x:v>12.28</x:v>
      </x:c>
      <x:c r="E18" s="33" t="n">
        <x:v>8.23</x:v>
      </x:c>
      <x:c r="F18" s="33" t="n">
        <x:v>0.66</x:v>
      </x:c>
      <x:c r="G18" s="33" t="n">
        <x:v>9.23</x:v>
      </x:c>
      <x:c r="H18" s="33" t="n">
        <x:v>0.5</x:v>
      </x:c>
      <x:c r="I18" s="33" t="n">
        <x:v>0.47</x:v>
      </x:c>
      <x:c r="J18" s="33" t="n">
        <x:v>1.62</x:v>
      </x:c>
      <x:c r="K18" s="33"/>
      <x:c r="L18" s="33" t="n">
        <x:v>0.16</x:v>
      </x:c>
      <x:c r="M18" s="33"/>
      <x:c r="N18" s="33"/>
      <x:c r="O18" s="33"/>
      <x:c r="P18" s="38" t="str">
        <x:v>14</x:v>
      </x:c>
      <x:c r="Q18" s="24" t="str">
        <x:f>IF(ISNUMBER(SEARCH("未风化点",A18)),"未风化点",IF(ISNUMBER(SEARCH("严重风化点",A18)),"严重风化点",IF(ISNUMBER(SEARCH("部位",A18)),"不同部位","普通采样点")))</x:f>
        <x:v>普通采样点</x:v>
      </x:c>
      <x:c r="R18" s="24" t="str">
        <x:f>VLOOKUP(P18,'表单1_清洗'!$A$2:$E$59,3,FALSE)</x:f>
        <x:v>高钾</x:v>
      </x:c>
      <x:c r="S18" s="24" t="str">
        <x:f>VLOOKUP(P18,'表单1_清洗'!$A$2:$E$59,5,FALSE)</x:f>
        <x:v>无风化</x:v>
      </x:c>
      <x:c r="T18" s="24" t="str">
        <x:f>IF(ISNUMBER(SEARCH("未风化点",A18)),"无风化",IF(ISNUMBER(SEARCH("严重风化点",A18)),"风化",S18))</x:f>
        <x:v>无风化</x:v>
      </x:c>
      <x:c r="U18" s="36" t="n">
        <x:f>SUM(B18:O18)</x:f>
        <x:v>99</x:v>
      </x:c>
      <x:c r="V18" s="24" t="str">
        <x:f>IF(AND(U18&gt;=85,U18&lt;=105),"有效","无效")</x:f>
        <x:v>有效</x:v>
      </x:c>
      <x:c r="W18" s="24" t="n">
        <x:f>COUNTBLANK(B18:O18)+COUNTIF(B18:O18,0)</x:f>
        <x:v>4</x:v>
      </x:c>
      <x:c r="X18" s="37" t="n">
        <x:f>IF($V18="无效","",IF(B18="",0,B18/$U18*100))</x:f>
        <x:v>63.101010101010104</x:v>
      </x:c>
      <x:c r="Y18" s="37" t="n">
        <x:f>IF($V18="无效","",IF(C18="",0,C18/$U18*100))</x:f>
        <x:v>3.414141414141414</x:v>
      </x:c>
      <x:c r="Z18" s="37" t="n">
        <x:f>IF($V18="无效","",IF(D18="",0,D18/$U18*100))</x:f>
        <x:v>12.404040404040403</x:v>
      </x:c>
      <x:c r="AA18" s="37" t="n">
        <x:f>IF($V18="无效","",IF(E18="",0,E18/$U18*100))</x:f>
        <x:v>8.313131313131313</x:v>
      </x:c>
      <x:c r="AB18" s="37" t="n">
        <x:f>IF($V18="无效","",IF(F18="",0,F18/$U18*100))</x:f>
        <x:v>0.6666666666666667</x:v>
      </x:c>
      <x:c r="AC18" s="37" t="n">
        <x:f>IF($V18="无效","",IF(G18="",0,G18/$U18*100))</x:f>
        <x:v>9.323232323232324</x:v>
      </x:c>
      <x:c r="AD18" s="37" t="n">
        <x:f>IF($V18="无效","",IF(H18="",0,H18/$U18*100))</x:f>
        <x:v>0.5050505050505051</x:v>
      </x:c>
      <x:c r="AE18" s="37" t="n">
        <x:f>IF($V18="无效","",IF(I18="",0,I18/$U18*100))</x:f>
        <x:v>0.4747474747474747</x:v>
      </x:c>
      <x:c r="AF18" s="37" t="n">
        <x:f>IF($V18="无效","",IF(J18="",0,J18/$U18*100))</x:f>
        <x:v>1.6363636363636365</x:v>
      </x:c>
      <x:c r="AG18" s="37" t="n">
        <x:f>IF($V18="无效","",IF(K18="",0,K18/$U18*100))</x:f>
        <x:v>0</x:v>
      </x:c>
      <x:c r="AH18" s="37" t="n">
        <x:f>IF($V18="无效","",IF(L18="",0,L18/$U18*100))</x:f>
        <x:v>0.1616161616161616</x:v>
      </x:c>
      <x:c r="AI18" s="37" t="n">
        <x:f>IF($V18="无效","",IF(M18="",0,M18/$U18*100))</x:f>
        <x:v>0</x:v>
      </x:c>
      <x:c r="AJ18" s="37" t="n">
        <x:f>IF($V18="无效","",IF(N18="",0,N18/$U18*100))</x:f>
        <x:v>0</x:v>
      </x:c>
      <x:c r="AK18" s="37" t="n">
        <x:f>IF($V18="无效","",IF(O18="",0,O18/$U18*100))</x:f>
        <x:v>0</x:v>
      </x:c>
      <x:c r="AL18" s="37" t="n">
        <x:f>IF(V18="有效",SUM(X18:AK18),"")</x:f>
        <x:v>100</x:v>
      </x:c>
    </x:row>
    <x:row r="19">
      <x:c r="A19" s="32" t="str">
        <x:v>15</x:v>
      </x:c>
      <x:c r="B19" s="33" t="n">
        <x:v>61.87</x:v>
      </x:c>
      <x:c r="C19" s="33" t="n">
        <x:v>3.21</x:v>
      </x:c>
      <x:c r="D19" s="33" t="n">
        <x:v>7.44</x:v>
      </x:c>
      <x:c r="E19" s="33"/>
      <x:c r="F19" s="33" t="n">
        <x:v>1.02</x:v>
      </x:c>
      <x:c r="G19" s="33" t="n">
        <x:v>3.15</x:v>
      </x:c>
      <x:c r="H19" s="33" t="n">
        <x:v>1.04</x:v>
      </x:c>
      <x:c r="I19" s="33" t="n">
        <x:v>1.29</x:v>
      </x:c>
      <x:c r="J19" s="33" t="n">
        <x:v>0.19</x:v>
      </x:c>
      <x:c r="K19" s="33" t="n">
        <x:v>0</x:v>
      </x:c>
      <x:c r="L19" s="33" t="n">
        <x:v>0.26</x:v>
      </x:c>
      <x:c r="M19" s="33"/>
      <x:c r="N19" s="33"/>
      <x:c r="O19" s="33"/>
      <x:c r="P19" s="38" t="str">
        <x:v>15</x:v>
      </x:c>
      <x:c r="Q19" s="24" t="str">
        <x:f>IF(ISNUMBER(SEARCH("未风化点",A19)),"未风化点",IF(ISNUMBER(SEARCH("严重风化点",A19)),"严重风化点",IF(ISNUMBER(SEARCH("部位",A19)),"不同部位","普通采样点")))</x:f>
        <x:v>普通采样点</x:v>
      </x:c>
      <x:c r="R19" s="24" t="str">
        <x:f>VLOOKUP(P19,'表单1_清洗'!$A$2:$E$59,3,FALSE)</x:f>
        <x:v>高钾</x:v>
      </x:c>
      <x:c r="S19" s="24" t="str">
        <x:f>VLOOKUP(P19,'表单1_清洗'!$A$2:$E$59,5,FALSE)</x:f>
        <x:v>无风化</x:v>
      </x:c>
      <x:c r="T19" s="24" t="str">
        <x:f>IF(ISNUMBER(SEARCH("未风化点",A19)),"无风化",IF(ISNUMBER(SEARCH("严重风化点",A19)),"风化",S19))</x:f>
        <x:v>无风化</x:v>
      </x:c>
      <x:c r="U19" s="36" t="n">
        <x:f>SUM(B19:O19)</x:f>
        <x:v>79.47000000000001</x:v>
      </x:c>
      <x:c r="V19" s="24" t="str">
        <x:f>IF(AND(U19&gt;=85,U19&lt;=105),"有效","无效")</x:f>
        <x:v>无效</x:v>
      </x:c>
      <x:c r="W19" s="24" t="n">
        <x:f>COUNTBLANK(B19:O19)+COUNTIF(B19:O19,0)</x:f>
        <x:v>5</x:v>
      </x:c>
      <x:c r="X19" s="37" t="str">
        <x:f>IF($V19="无效","",IF(B19="",0,B19/$U19*100))</x:f>
      </x:c>
      <x:c r="Y19" s="37" t="str">
        <x:f>IF($V19="无效","",IF(C19="",0,C19/$U19*100))</x:f>
      </x:c>
      <x:c r="Z19" s="37" t="str">
        <x:f>IF($V19="无效","",IF(D19="",0,D19/$U19*100))</x:f>
      </x:c>
      <x:c r="AA19" s="37" t="str">
        <x:f>IF($V19="无效","",IF(E19="",0,E19/$U19*100))</x:f>
      </x:c>
      <x:c r="AB19" s="37" t="str">
        <x:f>IF($V19="无效","",IF(F19="",0,F19/$U19*100))</x:f>
      </x:c>
      <x:c r="AC19" s="37" t="str">
        <x:f>IF($V19="无效","",IF(G19="",0,G19/$U19*100))</x:f>
      </x:c>
      <x:c r="AD19" s="37" t="str">
        <x:f>IF($V19="无效","",IF(H19="",0,H19/$U19*100))</x:f>
      </x:c>
      <x:c r="AE19" s="37" t="str">
        <x:f>IF($V19="无效","",IF(I19="",0,I19/$U19*100))</x:f>
      </x:c>
      <x:c r="AF19" s="37" t="str">
        <x:f>IF($V19="无效","",IF(J19="",0,J19/$U19*100))</x:f>
      </x:c>
      <x:c r="AG19" s="37" t="str">
        <x:f>IF($V19="无效","",IF(K19="",0,K19/$U19*100))</x:f>
      </x:c>
      <x:c r="AH19" s="37" t="str">
        <x:f>IF($V19="无效","",IF(L19="",0,L19/$U19*100))</x:f>
      </x:c>
      <x:c r="AI19" s="37" t="str">
        <x:f>IF($V19="无效","",IF(M19="",0,M19/$U19*100))</x:f>
      </x:c>
      <x:c r="AJ19" s="37" t="str">
        <x:f>IF($V19="无效","",IF(N19="",0,N19/$U19*100))</x:f>
      </x:c>
      <x:c r="AK19" s="37" t="str">
        <x:f>IF($V19="无效","",IF(O19="",0,O19/$U19*100))</x:f>
      </x:c>
      <x:c r="AL19" s="37" t="str">
        <x:f>IF(V19="有效",SUM(X19:AK19),"")</x:f>
      </x:c>
    </x:row>
    <x:row r="20">
      <x:c r="A20" s="32" t="str">
        <x:v>16</x:v>
      </x:c>
      <x:c r="B20" s="33" t="n">
        <x:v>65.18</x:v>
      </x:c>
      <x:c r="C20" s="33" t="n">
        <x:v>2.1</x:v>
      </x:c>
      <x:c r="D20" s="33" t="n">
        <x:v>14.52</x:v>
      </x:c>
      <x:c r="E20" s="33" t="n">
        <x:v>8.27</x:v>
      </x:c>
      <x:c r="F20" s="33" t="n">
        <x:v>0.52</x:v>
      </x:c>
      <x:c r="G20" s="33" t="n">
        <x:v>6.18</x:v>
      </x:c>
      <x:c r="H20" s="33" t="n">
        <x:v>0.42</x:v>
      </x:c>
      <x:c r="I20" s="33" t="n">
        <x:v>1.07</x:v>
      </x:c>
      <x:c r="J20" s="33" t="n">
        <x:v>0.11</x:v>
      </x:c>
      <x:c r="K20" s="33" t="n">
        <x:v>0</x:v>
      </x:c>
      <x:c r="L20" s="33"/>
      <x:c r="M20" s="33" t="n">
        <x:v>0.04</x:v>
      </x:c>
      <x:c r="N20" s="33"/>
      <x:c r="O20" s="33"/>
      <x:c r="P20" s="38" t="str">
        <x:v>16</x:v>
      </x:c>
      <x:c r="Q20" s="24" t="str">
        <x:f>IF(ISNUMBER(SEARCH("未风化点",A20)),"未风化点",IF(ISNUMBER(SEARCH("严重风化点",A20)),"严重风化点",IF(ISNUMBER(SEARCH("部位",A20)),"不同部位","普通采样点")))</x:f>
        <x:v>普通采样点</x:v>
      </x:c>
      <x:c r="R20" s="24" t="str">
        <x:f>VLOOKUP(P20,'表单1_清洗'!$A$2:$E$59,3,FALSE)</x:f>
        <x:v>高钾</x:v>
      </x:c>
      <x:c r="S20" s="24" t="str">
        <x:f>VLOOKUP(P20,'表单1_清洗'!$A$2:$E$59,5,FALSE)</x:f>
        <x:v>无风化</x:v>
      </x:c>
      <x:c r="T20" s="24" t="str">
        <x:f>IF(ISNUMBER(SEARCH("未风化点",A20)),"无风化",IF(ISNUMBER(SEARCH("严重风化点",A20)),"风化",S20))</x:f>
        <x:v>无风化</x:v>
      </x:c>
      <x:c r="U20" s="36" t="n">
        <x:f>SUM(B20:O20)</x:f>
        <x:v>98.40999999999998</x:v>
      </x:c>
      <x:c r="V20" s="24" t="str">
        <x:f>IF(AND(U20&gt;=85,U20&lt;=105),"有效","无效")</x:f>
        <x:v>有效</x:v>
      </x:c>
      <x:c r="W20" s="24" t="n">
        <x:f>COUNTBLANK(B20:O20)+COUNTIF(B20:O20,0)</x:f>
        <x:v>4</x:v>
      </x:c>
      <x:c r="X20" s="37" t="n">
        <x:f>IF($V20="无效","",IF(B20="",0,B20/$U20*100))</x:f>
        <x:v>66.23310639162689</x:v>
      </x:c>
      <x:c r="Y20" s="37" t="n">
        <x:f>IF($V20="无效","",IF(C20="",0,C20/$U20*100))</x:f>
        <x:v>2.1339294787115137</x:v>
      </x:c>
      <x:c r="Z20" s="37" t="n">
        <x:f>IF($V20="无效","",IF(D20="",0,D20/$U20*100))</x:f>
        <x:v>14.754598109948178</x:v>
      </x:c>
      <x:c r="AA20" s="37" t="n">
        <x:f>IF($V20="无效","",IF(E20="",0,E20/$U20*100))</x:f>
        <x:v>8.403617518544864</x:v>
      </x:c>
      <x:c r="AB20" s="37" t="n">
        <x:f>IF($V20="无效","",IF(F20="",0,F20/$U20*100))</x:f>
        <x:v>0.5284015852047557</x:v>
      </x:c>
      <x:c r="AC20" s="37" t="n">
        <x:f>IF($V20="无效","",IF(G20="",0,G20/$U20*100))</x:f>
        <x:v>6.279849608779596</x:v>
      </x:c>
      <x:c r="AD20" s="37" t="n">
        <x:f>IF($V20="无效","",IF(H20="",0,H20/$U20*100))</x:f>
        <x:v>0.42678589574230263</x:v>
      </x:c>
      <x:c r="AE20" s="37" t="n">
        <x:f>IF($V20="无效","",IF(I20="",0,I20/$U20*100))</x:f>
        <x:v>1.0872878772482475</x:v>
      </x:c>
      <x:c r="AF20" s="37" t="n">
        <x:f>IF($V20="无效","",IF(J20="",0,J20/$U20*100))</x:f>
        <x:v>0.11177725840869832</x:v>
      </x:c>
      <x:c r="AG20" s="37" t="n">
        <x:f>IF($V20="无效","",IF(K20="",0,K20/$U20*100))</x:f>
        <x:v>0</x:v>
      </x:c>
      <x:c r="AH20" s="37" t="n">
        <x:f>IF($V20="无效","",IF(L20="",0,L20/$U20*100))</x:f>
        <x:v>0</x:v>
      </x:c>
      <x:c r="AI20" s="37" t="n">
        <x:f>IF($V20="无效","",IF(M20="",0,M20/$U20*100))</x:f>
        <x:v>0.04064627578498121</x:v>
      </x:c>
      <x:c r="AJ20" s="37" t="n">
        <x:f>IF($V20="无效","",IF(N20="",0,N20/$U20*100))</x:f>
        <x:v>0</x:v>
      </x:c>
      <x:c r="AK20" s="37" t="n">
        <x:f>IF($V20="无效","",IF(O20="",0,O20/$U20*100))</x:f>
        <x:v>0</x:v>
      </x:c>
      <x:c r="AL20" s="37" t="n">
        <x:f>IF(V20="有效",SUM(X20:AK20),"")</x:f>
        <x:v>100.00000000000001</x:v>
      </x:c>
    </x:row>
    <x:row r="21">
      <x:c r="A21" s="32" t="str">
        <x:v>17</x:v>
      </x:c>
      <x:c r="B21" s="33" t="n">
        <x:v>60.71</x:v>
      </x:c>
      <x:c r="C21" s="33" t="n">
        <x:v>2.12</x:v>
      </x:c>
      <x:c r="D21" s="33" t="n">
        <x:v>5.71</x:v>
      </x:c>
      <x:c r="E21" s="33"/>
      <x:c r="F21" s="33" t="n">
        <x:v>0.85</x:v>
      </x:c>
      <x:c r="G21" s="33"/>
      <x:c r="H21" s="33" t="n">
        <x:v>1.04</x:v>
      </x:c>
      <x:c r="I21" s="33" t="n">
        <x:v>1.09</x:v>
      </x:c>
      <x:c r="J21" s="33" t="n">
        <x:v>0.19</x:v>
      </x:c>
      <x:c r="K21" s="33" t="n">
        <x:v>0</x:v>
      </x:c>
      <x:c r="L21" s="33" t="n">
        <x:v>0.18</x:v>
      </x:c>
      <x:c r="M21" s="33"/>
      <x:c r="N21" s="33" t="n">
        <x:v>0</x:v>
      </x:c>
      <x:c r="O21" s="33"/>
      <x:c r="P21" s="38" t="str">
        <x:v>17</x:v>
      </x:c>
      <x:c r="Q21" s="24" t="str">
        <x:f>IF(ISNUMBER(SEARCH("未风化点",A21)),"未风化点",IF(ISNUMBER(SEARCH("严重风化点",A21)),"严重风化点",IF(ISNUMBER(SEARCH("部位",A21)),"不同部位","普通采样点")))</x:f>
        <x:v>普通采样点</x:v>
      </x:c>
      <x:c r="R21" s="24" t="str">
        <x:f>VLOOKUP(P21,'表单1_清洗'!$A$2:$E$59,3,FALSE)</x:f>
        <x:v>高钾</x:v>
      </x:c>
      <x:c r="S21" s="24" t="str">
        <x:f>VLOOKUP(P21,'表单1_清洗'!$A$2:$E$59,5,FALSE)</x:f>
        <x:v>无风化</x:v>
      </x:c>
      <x:c r="T21" s="24" t="str">
        <x:f>IF(ISNUMBER(SEARCH("未风化点",A21)),"无风化",IF(ISNUMBER(SEARCH("严重风化点",A21)),"风化",S21))</x:f>
        <x:v>无风化</x:v>
      </x:c>
      <x:c r="U21" s="36" t="n">
        <x:f>SUM(B21:O21)</x:f>
        <x:v>71.89</x:v>
      </x:c>
      <x:c r="V21" s="24" t="str">
        <x:f>IF(AND(U21&gt;=85,U21&lt;=105),"有效","无效")</x:f>
        <x:v>无效</x:v>
      </x:c>
      <x:c r="W21" s="24" t="n">
        <x:f>COUNTBLANK(B21:O21)+COUNTIF(B21:O21,0)</x:f>
        <x:v>6</x:v>
      </x:c>
      <x:c r="X21" s="37" t="str">
        <x:f>IF($V21="无效","",IF(B21="",0,B21/$U21*100))</x:f>
      </x:c>
      <x:c r="Y21" s="37" t="str">
        <x:f>IF($V21="无效","",IF(C21="",0,C21/$U21*100))</x:f>
      </x:c>
      <x:c r="Z21" s="37" t="str">
        <x:f>IF($V21="无效","",IF(D21="",0,D21/$U21*100))</x:f>
      </x:c>
      <x:c r="AA21" s="37" t="str">
        <x:f>IF($V21="无效","",IF(E21="",0,E21/$U21*100))</x:f>
      </x:c>
      <x:c r="AB21" s="37" t="str">
        <x:f>IF($V21="无效","",IF(F21="",0,F21/$U21*100))</x:f>
      </x:c>
      <x:c r="AC21" s="37" t="str">
        <x:f>IF($V21="无效","",IF(G21="",0,G21/$U21*100))</x:f>
      </x:c>
      <x:c r="AD21" s="37" t="str">
        <x:f>IF($V21="无效","",IF(H21="",0,H21/$U21*100))</x:f>
      </x:c>
      <x:c r="AE21" s="37" t="str">
        <x:f>IF($V21="无效","",IF(I21="",0,I21/$U21*100))</x:f>
      </x:c>
      <x:c r="AF21" s="37" t="str">
        <x:f>IF($V21="无效","",IF(J21="",0,J21/$U21*100))</x:f>
      </x:c>
      <x:c r="AG21" s="37" t="str">
        <x:f>IF($V21="无效","",IF(K21="",0,K21/$U21*100))</x:f>
      </x:c>
      <x:c r="AH21" s="37" t="str">
        <x:f>IF($V21="无效","",IF(L21="",0,L21/$U21*100))</x:f>
      </x:c>
      <x:c r="AI21" s="37" t="str">
        <x:f>IF($V21="无效","",IF(M21="",0,M21/$U21*100))</x:f>
      </x:c>
      <x:c r="AJ21" s="37" t="str">
        <x:f>IF($V21="无效","",IF(N21="",0,N21/$U21*100))</x:f>
      </x:c>
      <x:c r="AK21" s="37" t="str">
        <x:f>IF($V21="无效","",IF(O21="",0,O21/$U21*100))</x:f>
      </x:c>
      <x:c r="AL21" s="37" t="str">
        <x:f>IF(V21="有效",SUM(X21:AK21),"")</x:f>
      </x:c>
    </x:row>
    <x:row r="22">
      <x:c r="A22" s="32" t="str">
        <x:v>18</x:v>
      </x:c>
      <x:c r="B22" s="33" t="n">
        <x:v>79.46</x:v>
      </x:c>
      <x:c r="C22" s="33"/>
      <x:c r="D22" s="33" t="n">
        <x:v>9.42</x:v>
      </x:c>
      <x:c r="E22" s="33"/>
      <x:c r="F22" s="33" t="n">
        <x:v>1.53</x:v>
      </x:c>
      <x:c r="G22" s="33" t="n">
        <x:v>3.05</x:v>
      </x:c>
      <x:c r="H22" s="33"/>
      <x:c r="I22" s="33"/>
      <x:c r="J22" s="33"/>
      <x:c r="K22" s="33"/>
      <x:c r="L22" s="33" t="n">
        <x:v>1.36</x:v>
      </x:c>
      <x:c r="M22" s="33" t="n">
        <x:v>0.07</x:v>
      </x:c>
      <x:c r="N22" s="33" t="n">
        <x:v>2.36</x:v>
      </x:c>
      <x:c r="O22" s="33"/>
      <x:c r="P22" s="38" t="str">
        <x:v>18</x:v>
      </x:c>
      <x:c r="Q22" s="24" t="str">
        <x:f>IF(ISNUMBER(SEARCH("未风化点",A22)),"未风化点",IF(ISNUMBER(SEARCH("严重风化点",A22)),"严重风化点",IF(ISNUMBER(SEARCH("部位",A22)),"不同部位","普通采样点")))</x:f>
        <x:v>普通采样点</x:v>
      </x:c>
      <x:c r="R22" s="24" t="str">
        <x:f>VLOOKUP(P22,'表单1_清洗'!$A$2:$E$59,3,FALSE)</x:f>
        <x:v>高钾</x:v>
      </x:c>
      <x:c r="S22" s="24" t="str">
        <x:f>VLOOKUP(P22,'表单1_清洗'!$A$2:$E$59,5,FALSE)</x:f>
        <x:v>无风化</x:v>
      </x:c>
      <x:c r="T22" s="24" t="str">
        <x:f>IF(ISNUMBER(SEARCH("未风化点",A22)),"无风化",IF(ISNUMBER(SEARCH("严重风化点",A22)),"风化",S22))</x:f>
        <x:v>无风化</x:v>
      </x:c>
      <x:c r="U22" s="36" t="n">
        <x:f>SUM(B22:O22)</x:f>
        <x:v>97.24999999999999</x:v>
      </x:c>
      <x:c r="V22" s="24" t="str">
        <x:f>IF(AND(U22&gt;=85,U22&lt;=105),"有效","无效")</x:f>
        <x:v>有效</x:v>
      </x:c>
      <x:c r="W22" s="24" t="n">
        <x:f>COUNTBLANK(B22:O22)+COUNTIF(B22:O22,0)</x:f>
        <x:v>7</x:v>
      </x:c>
      <x:c r="X22" s="37" t="n">
        <x:f>IF($V22="无效","",IF(B22="",0,B22/$U22*100))</x:f>
        <x:v>81.706940874036</x:v>
      </x:c>
      <x:c r="Y22" s="37" t="n">
        <x:f>IF($V22="无效","",IF(C22="",0,C22/$U22*100))</x:f>
        <x:v>0</x:v>
      </x:c>
      <x:c r="Z22" s="37" t="n">
        <x:f>IF($V22="无效","",IF(D22="",0,D22/$U22*100))</x:f>
        <x:v>9.686375321336763</x:v>
      </x:c>
      <x:c r="AA22" s="37" t="n">
        <x:f>IF($V22="无效","",IF(E22="",0,E22/$U22*100))</x:f>
        <x:v>0</x:v>
      </x:c>
      <x:c r="AB22" s="37" t="n">
        <x:f>IF($V22="无效","",IF(F22="",0,F22/$U22*100))</x:f>
        <x:v>1.5732647814910028</x:v>
      </x:c>
      <x:c r="AC22" s="37" t="n">
        <x:f>IF($V22="无效","",IF(G22="",0,G22/$U22*100))</x:f>
        <x:v>3.1362467866323915</x:v>
      </x:c>
      <x:c r="AD22" s="37" t="n">
        <x:f>IF($V22="无效","",IF(H22="",0,H22/$U22*100))</x:f>
        <x:v>0</x:v>
      </x:c>
      <x:c r="AE22" s="37" t="n">
        <x:f>IF($V22="无效","",IF(I22="",0,I22/$U22*100))</x:f>
        <x:v>0</x:v>
      </x:c>
      <x:c r="AF22" s="37" t="n">
        <x:f>IF($V22="无效","",IF(J22="",0,J22/$U22*100))</x:f>
        <x:v>0</x:v>
      </x:c>
      <x:c r="AG22" s="37" t="n">
        <x:f>IF($V22="无效","",IF(K22="",0,K22/$U22*100))</x:f>
        <x:v>0</x:v>
      </x:c>
      <x:c r="AH22" s="37" t="n">
        <x:f>IF($V22="无效","",IF(L22="",0,L22/$U22*100))</x:f>
        <x:v>1.3984575835475581</x:v>
      </x:c>
      <x:c r="AI22" s="37" t="n">
        <x:f>IF($V22="无效","",IF(M22="",0,M22/$U22*100))</x:f>
        <x:v>0.07197943444730079</x:v>
      </x:c>
      <x:c r="AJ22" s="37" t="n">
        <x:f>IF($V22="无效","",IF(N22="",0,N22/$U22*100))</x:f>
        <x:v>2.426735218508998</x:v>
      </x:c>
      <x:c r="AK22" s="37" t="n">
        <x:f>IF($V22="无效","",IF(O22="",0,O22/$U22*100))</x:f>
        <x:v>0</x:v>
      </x:c>
      <x:c r="AL22" s="37" t="n">
        <x:f>IF(V22="有效",SUM(X22:AK22),"")</x:f>
        <x:v>100.00000000000001</x:v>
      </x:c>
    </x:row>
    <x:row r="23">
      <x:c r="A23" s="32" t="str">
        <x:v>19</x:v>
      </x:c>
      <x:c r="B23" s="33" t="n">
        <x:v>29.64</x:v>
      </x:c>
      <x:c r="C23" s="33"/>
      <x:c r="D23" s="33"/>
      <x:c r="E23" s="33" t="n">
        <x:v>2.93</x:v>
      </x:c>
      <x:c r="F23" s="33" t="n">
        <x:v>0.59</x:v>
      </x:c>
      <x:c r="G23" s="33" t="n">
        <x:v>3.57</x:v>
      </x:c>
      <x:c r="H23" s="33" t="n">
        <x:v>1.33</x:v>
      </x:c>
      <x:c r="I23" s="33" t="n">
        <x:v>3.51</x:v>
      </x:c>
      <x:c r="J23" s="33" t="n">
        <x:v>42.82</x:v>
      </x:c>
      <x:c r="K23" s="33" t="n">
        <x:v>5.35</x:v>
      </x:c>
      <x:c r="L23" s="33" t="n">
        <x:v>8.83</x:v>
      </x:c>
      <x:c r="M23" s="33" t="n">
        <x:v>0.19</x:v>
      </x:c>
      <x:c r="N23" s="33"/>
      <x:c r="O23" s="33"/>
      <x:c r="P23" s="38" t="str">
        <x:v>19</x:v>
      </x:c>
      <x:c r="Q23" s="24" t="str">
        <x:f>IF(ISNUMBER(SEARCH("未风化点",A23)),"未风化点",IF(ISNUMBER(SEARCH("严重风化点",A23)),"严重风化点",IF(ISNUMBER(SEARCH("部位",A23)),"不同部位","普通采样点")))</x:f>
        <x:v>普通采样点</x:v>
      </x:c>
      <x:c r="R23" s="24" t="str">
        <x:f>VLOOKUP(P23,'表单1_清洗'!$A$2:$E$59,3,FALSE)</x:f>
        <x:v>铅钡</x:v>
      </x:c>
      <x:c r="S23" s="24" t="str">
        <x:f>VLOOKUP(P23,'表单1_清洗'!$A$2:$E$59,5,FALSE)</x:f>
        <x:v>风化</x:v>
      </x:c>
      <x:c r="T23" s="24" t="str">
        <x:f>IF(ISNUMBER(SEARCH("未风化点",A23)),"无风化",IF(ISNUMBER(SEARCH("严重风化点",A23)),"风化",S23))</x:f>
        <x:v>风化</x:v>
      </x:c>
      <x:c r="U23" s="36" t="n">
        <x:f>SUM(B23:O23)</x:f>
        <x:v>98.75999999999999</x:v>
      </x:c>
      <x:c r="V23" s="24" t="str">
        <x:f>IF(AND(U23&gt;=85,U23&lt;=105),"有效","无效")</x:f>
        <x:v>有效</x:v>
      </x:c>
      <x:c r="W23" s="24" t="n">
        <x:f>COUNTBLANK(B23:O23)+COUNTIF(B23:O23,0)</x:f>
        <x:v>4</x:v>
      </x:c>
      <x:c r="X23" s="37" t="n">
        <x:f>IF($V23="无效","",IF(B23="",0,B23/$U23*100))</x:f>
        <x:v>30.012150668286758</x:v>
      </x:c>
      <x:c r="Y23" s="37" t="n">
        <x:f>IF($V23="无效","",IF(C23="",0,C23/$U23*100))</x:f>
        <x:v>0</x:v>
      </x:c>
      <x:c r="Z23" s="37" t="n">
        <x:f>IF($V23="无效","",IF(D23="",0,D23/$U23*100))</x:f>
        <x:v>0</x:v>
      </x:c>
      <x:c r="AA23" s="37" t="n">
        <x:f>IF($V23="无效","",IF(E23="",0,E23/$U23*100))</x:f>
        <x:v>2.966788173349535</x:v>
      </x:c>
      <x:c r="AB23" s="37" t="n">
        <x:f>IF($V23="无效","",IF(F23="",0,F23/$U23*100))</x:f>
        <x:v>0.5974078574321587</x:v>
      </x:c>
      <x:c r="AC23" s="37" t="n">
        <x:f>IF($V23="无效","",IF(G23="",0,G23/$U23*100))</x:f>
        <x:v>3.614823815309842</x:v>
      </x:c>
      <x:c r="AD23" s="37" t="n">
        <x:f>IF($V23="无效","",IF(H23="",0,H23/$U23*100))</x:f>
        <x:v>1.346699068448765</x:v>
      </x:c>
      <x:c r="AE23" s="37" t="n">
        <x:f>IF($V23="无效","",IF(I23="",0,I23/$U23*100))</x:f>
        <x:v>3.5540704738760636</x:v>
      </x:c>
      <x:c r="AF23" s="37" t="n">
        <x:f>IF($V23="无效","",IF(J23="",0,J23/$U23*100))</x:f>
        <x:v>43.357634669906844</x:v>
      </x:c>
      <x:c r="AG23" s="37" t="n">
        <x:f>IF($V23="无效","",IF(K23="",0,K23/$U23*100))</x:f>
        <x:v>5.4171729445119485</x:v>
      </x:c>
      <x:c r="AH23" s="37" t="n">
        <x:f>IF($V23="无效","",IF(L23="",0,L23/$U23*100))</x:f>
        <x:v>8.940866747671123</x:v>
      </x:c>
      <x:c r="AI23" s="37" t="n">
        <x:f>IF($V23="无效","",IF(M23="",0,M23/$U23*100))</x:f>
        <x:v>0.19238558120696642</x:v>
      </x:c>
      <x:c r="AJ23" s="37" t="n">
        <x:f>IF($V23="无效","",IF(N23="",0,N23/$U23*100))</x:f>
        <x:v>0</x:v>
      </x:c>
      <x:c r="AK23" s="37" t="n">
        <x:f>IF($V23="无效","",IF(O23="",0,O23/$U23*100))</x:f>
        <x:v>0</x:v>
      </x:c>
      <x:c r="AL23" s="37" t="n">
        <x:f>IF(V23="有效",SUM(X23:AK23),"")</x:f>
        <x:v>100</x:v>
      </x:c>
    </x:row>
    <x:row r="24">
      <x:c r="A24" s="32" t="str">
        <x:v>20</x:v>
      </x:c>
      <x:c r="B24" s="33" t="n">
        <x:v>37.36</x:v>
      </x:c>
      <x:c r="C24" s="33"/>
      <x:c r="D24" s="33" t="n">
        <x:v>0.71</x:v>
      </x:c>
      <x:c r="E24" s="33"/>
      <x:c r="F24" s="33"/>
      <x:c r="G24" s="33" t="n">
        <x:v>5.45</x:v>
      </x:c>
      <x:c r="H24" s="33" t="n">
        <x:v>1.51</x:v>
      </x:c>
      <x:c r="I24" s="33" t="n">
        <x:v>4.78</x:v>
      </x:c>
      <x:c r="J24" s="33" t="n">
        <x:v>9.3</x:v>
      </x:c>
      <x:c r="K24" s="33" t="n">
        <x:v>23.55</x:v>
      </x:c>
      <x:c r="L24" s="33" t="n">
        <x:v>5.75</x:v>
      </x:c>
      <x:c r="M24" s="33"/>
      <x:c r="N24" s="33"/>
      <x:c r="O24" s="33"/>
      <x:c r="P24" s="38" t="str">
        <x:v>20</x:v>
      </x:c>
      <x:c r="Q24" s="24" t="str">
        <x:f>IF(ISNUMBER(SEARCH("未风化点",A24)),"未风化点",IF(ISNUMBER(SEARCH("严重风化点",A24)),"严重风化点",IF(ISNUMBER(SEARCH("部位",A24)),"不同部位","普通采样点")))</x:f>
        <x:v>普通采样点</x:v>
      </x:c>
      <x:c r="R24" s="24" t="str">
        <x:f>VLOOKUP(P24,'表单1_清洗'!$A$2:$E$59,3,FALSE)</x:f>
        <x:v>铅钡</x:v>
      </x:c>
      <x:c r="S24" s="24" t="str">
        <x:f>VLOOKUP(P24,'表单1_清洗'!$A$2:$E$59,5,FALSE)</x:f>
        <x:v>无风化</x:v>
      </x:c>
      <x:c r="T24" s="24" t="str">
        <x:f>IF(ISNUMBER(SEARCH("未风化点",A24)),"无风化",IF(ISNUMBER(SEARCH("严重风化点",A24)),"风化",S24))</x:f>
        <x:v>无风化</x:v>
      </x:c>
      <x:c r="U24" s="36" t="n">
        <x:f>SUM(B24:O24)</x:f>
        <x:v>88.41</x:v>
      </x:c>
      <x:c r="V24" s="24" t="str">
        <x:f>IF(AND(U24&gt;=85,U24&lt;=105),"有效","无效")</x:f>
        <x:v>有效</x:v>
      </x:c>
      <x:c r="W24" s="24" t="n">
        <x:f>COUNTBLANK(B24:O24)+COUNTIF(B24:O24,0)</x:f>
        <x:v>6</x:v>
      </x:c>
      <x:c r="X24" s="37" t="n">
        <x:f>IF($V24="无效","",IF(B24="",0,B24/$U24*100))</x:f>
        <x:v>42.25766316027599</x:v>
      </x:c>
      <x:c r="Y24" s="37" t="n">
        <x:f>IF($V24="无效","",IF(C24="",0,C24/$U24*100))</x:f>
        <x:v>0</x:v>
      </x:c>
      <x:c r="Z24" s="37" t="n">
        <x:f>IF($V24="无效","",IF(D24="",0,D24/$U24*100))</x:f>
        <x:v>0.8030765750480715</x:v>
      </x:c>
      <x:c r="AA24" s="37" t="n">
        <x:f>IF($V24="无效","",IF(E24="",0,E24/$U24*100))</x:f>
        <x:v>0</x:v>
      </x:c>
      <x:c r="AB24" s="37" t="n">
        <x:f>IF($V24="无效","",IF(F24="",0,F24/$U24*100))</x:f>
        <x:v>0</x:v>
      </x:c>
      <x:c r="AC24" s="37" t="n">
        <x:f>IF($V24="无效","",IF(G24="",0,G24/$U24*100))</x:f>
        <x:v>6.164461033819705</x:v>
      </x:c>
      <x:c r="AD24" s="37" t="n">
        <x:f>IF($V24="无效","",IF(H24="",0,H24/$U24*100))</x:f>
        <x:v>1.7079515891867438</x:v>
      </x:c>
      <x:c r="AE24" s="37" t="n">
        <x:f>IF($V24="无效","",IF(I24="",0,I24/$U24*100))</x:f>
        <x:v>5.4066282094785665</x:v>
      </x:c>
      <x:c r="AF24" s="37" t="n">
        <x:f>IF($V24="无效","",IF(J24="",0,J24/$U24*100))</x:f>
        <x:v>10.519172039362063</x:v>
      </x:c>
      <x:c r="AG24" s="37" t="n">
        <x:f>IF($V24="无效","",IF(K24="",0,K24/$U24*100))</x:f>
        <x:v>26.63725822870716</x:v>
      </x:c>
      <x:c r="AH24" s="37" t="n">
        <x:f>IF($V24="无效","",IF(L24="",0,L24/$U24*100))</x:f>
        <x:v>6.503789164121707</x:v>
      </x:c>
      <x:c r="AI24" s="37" t="n">
        <x:f>IF($V24="无效","",IF(M24="",0,M24/$U24*100))</x:f>
        <x:v>0</x:v>
      </x:c>
      <x:c r="AJ24" s="37" t="n">
        <x:f>IF($V24="无效","",IF(N24="",0,N24/$U24*100))</x:f>
        <x:v>0</x:v>
      </x:c>
      <x:c r="AK24" s="37" t="n">
        <x:f>IF($V24="无效","",IF(O24="",0,O24/$U24*100))</x:f>
        <x:v>0</x:v>
      </x:c>
      <x:c r="AL24" s="37" t="n">
        <x:f>IF(V24="有效",SUM(X24:AK24),"")</x:f>
        <x:v>100.00000000000003</x:v>
      </x:c>
    </x:row>
    <x:row r="25">
      <x:c r="A25" s="32" t="str">
        <x:v>21</x:v>
      </x:c>
      <x:c r="B25" s="33" t="n">
        <x:v>76.68</x:v>
      </x:c>
      <x:c r="C25" s="33"/>
      <x:c r="D25" s="33"/>
      <x:c r="E25" s="33" t="n">
        <x:v>4.71</x:v>
      </x:c>
      <x:c r="F25" s="33" t="n">
        <x:v>1.22</x:v>
      </x:c>
      <x:c r="G25" s="33" t="n">
        <x:v>6.19</x:v>
      </x:c>
      <x:c r="H25" s="33" t="n">
        <x:v>2.37</x:v>
      </x:c>
      <x:c r="I25" s="33" t="n">
        <x:v>3.28</x:v>
      </x:c>
      <x:c r="J25" s="33" t="n">
        <x:v>1</x:v>
      </x:c>
      <x:c r="K25" s="33" t="n">
        <x:v>1.97</x:v>
      </x:c>
      <x:c r="L25" s="33" t="n">
        <x:v>1.1</x:v>
      </x:c>
      <x:c r="M25" s="33"/>
      <x:c r="N25" s="33"/>
      <x:c r="O25" s="33"/>
      <x:c r="P25" s="38" t="str">
        <x:v>21</x:v>
      </x:c>
      <x:c r="Q25" s="24" t="str">
        <x:f>IF(ISNUMBER(SEARCH("未风化点",A25)),"未风化点",IF(ISNUMBER(SEARCH("严重风化点",A25)),"严重风化点",IF(ISNUMBER(SEARCH("部位",A25)),"不同部位","普通采样点")))</x:f>
        <x:v>普通采样点</x:v>
      </x:c>
      <x:c r="R25" s="24" t="str">
        <x:f>VLOOKUP(P25,'表单1_清洗'!$A$2:$E$59,3,FALSE)</x:f>
        <x:v>高钾</x:v>
      </x:c>
      <x:c r="S25" s="24" t="str">
        <x:f>VLOOKUP(P25,'表单1_清洗'!$A$2:$E$59,5,FALSE)</x:f>
        <x:v>无风化</x:v>
      </x:c>
      <x:c r="T25" s="24" t="str">
        <x:f>IF(ISNUMBER(SEARCH("未风化点",A25)),"无风化",IF(ISNUMBER(SEARCH("严重风化点",A25)),"风化",S25))</x:f>
        <x:v>无风化</x:v>
      </x:c>
      <x:c r="U25" s="36" t="n">
        <x:f>SUM(B25:O25)</x:f>
        <x:v>98.52</x:v>
      </x:c>
      <x:c r="V25" s="24" t="str">
        <x:f>IF(AND(U25&gt;=85,U25&lt;=105),"有效","无效")</x:f>
        <x:v>有效</x:v>
      </x:c>
      <x:c r="W25" s="24" t="n">
        <x:f>COUNTBLANK(B25:O25)+COUNTIF(B25:O25,0)</x:f>
        <x:v>5</x:v>
      </x:c>
      <x:c r="X25" s="37" t="n">
        <x:f>IF($V25="无效","",IF(B25="",0,B25/$U25*100))</x:f>
        <x:v>77.83191230207066</x:v>
      </x:c>
      <x:c r="Y25" s="37" t="n">
        <x:f>IF($V25="无效","",IF(C25="",0,C25/$U25*100))</x:f>
        <x:v>0</x:v>
      </x:c>
      <x:c r="Z25" s="37" t="n">
        <x:f>IF($V25="无效","",IF(D25="",0,D25/$U25*100))</x:f>
        <x:v>0</x:v>
      </x:c>
      <x:c r="AA25" s="37" t="n">
        <x:f>IF($V25="无效","",IF(E25="",0,E25/$U25*100))</x:f>
        <x:v>4.780755176613885</x:v>
      </x:c>
      <x:c r="AB25" s="37" t="n">
        <x:f>IF($V25="无效","",IF(F25="",0,F25/$U25*100))</x:f>
        <x:v>1.2383272431993504</x:v>
      </x:c>
      <x:c r="AC25" s="37" t="n">
        <x:f>IF($V25="无效","",IF(G25="",0,G25/$U25*100))</x:f>
        <x:v>6.282988225740967</x:v>
      </x:c>
      <x:c r="AD25" s="37" t="n">
        <x:f>IF($V25="无效","",IF(H25="",0,H25/$U25*100))</x:f>
        <x:v>2.405602923264312</x:v>
      </x:c>
      <x:c r="AE25" s="37" t="n">
        <x:f>IF($V25="无效","",IF(I25="",0,I25/$U25*100))</x:f>
        <x:v>3.329273244011368</x:v>
      </x:c>
      <x:c r="AF25" s="37" t="n">
        <x:f>IF($V25="无效","",IF(J25="",0,J25/$U25*100))</x:f>
        <x:v>1.0150223304912709</x:v>
      </x:c>
      <x:c r="AG25" s="37" t="n">
        <x:f>IF($V25="无效","",IF(K25="",0,K25/$U25*100))</x:f>
        <x:v>1.9995939910678033</x:v>
      </x:c>
      <x:c r="AH25" s="37" t="n">
        <x:f>IF($V25="无效","",IF(L25="",0,L25/$U25*100))</x:f>
        <x:v>1.116524563540398</x:v>
      </x:c>
      <x:c r="AI25" s="37" t="n">
        <x:f>IF($V25="无效","",IF(M25="",0,M25/$U25*100))</x:f>
        <x:v>0</x:v>
      </x:c>
      <x:c r="AJ25" s="37" t="n">
        <x:f>IF($V25="无效","",IF(N25="",0,N25/$U25*100))</x:f>
        <x:v>0</x:v>
      </x:c>
      <x:c r="AK25" s="37" t="n">
        <x:f>IF($V25="无效","",IF(O25="",0,O25/$U25*100))</x:f>
        <x:v>0</x:v>
      </x:c>
      <x:c r="AL25" s="37" t="n">
        <x:f>IF(V25="有效",SUM(X25:AK25),"")</x:f>
        <x:v>100.00000000000001</x:v>
      </x:c>
    </x:row>
    <x:row r="26">
      <x:c r="A26" s="32" t="str">
        <x:v>22</x:v>
      </x:c>
      <x:c r="B26" s="33" t="n">
        <x:v>92.35</x:v>
      </x:c>
      <x:c r="C26" s="33"/>
      <x:c r="D26" s="33" t="n">
        <x:v>0.74</x:v>
      </x:c>
      <x:c r="E26" s="33" t="n">
        <x:v>1.66</x:v>
      </x:c>
      <x:c r="F26" s="33" t="n">
        <x:v>0.64</x:v>
      </x:c>
      <x:c r="G26" s="33" t="n">
        <x:v>3.5</x:v>
      </x:c>
      <x:c r="H26" s="33" t="n">
        <x:v>0.35</x:v>
      </x:c>
      <x:c r="I26" s="33" t="n">
        <x:v>0.55</x:v>
      </x:c>
      <x:c r="J26" s="33"/>
      <x:c r="K26" s="33"/>
      <x:c r="L26" s="33" t="n">
        <x:v>0.21</x:v>
      </x:c>
      <x:c r="M26" s="33"/>
      <x:c r="N26" s="33"/>
      <x:c r="O26" s="33"/>
      <x:c r="P26" s="38" t="str">
        <x:v>22</x:v>
      </x:c>
      <x:c r="Q26" s="24" t="str">
        <x:f>IF(ISNUMBER(SEARCH("未风化点",A26)),"未风化点",IF(ISNUMBER(SEARCH("严重风化点",A26)),"严重风化点",IF(ISNUMBER(SEARCH("部位",A26)),"不同部位","普通采样点")))</x:f>
        <x:v>普通采样点</x:v>
      </x:c>
      <x:c r="R26" s="24" t="str">
        <x:f>VLOOKUP(P26,'表单1_清洗'!$A$2:$E$59,3,FALSE)</x:f>
        <x:v>高钾</x:v>
      </x:c>
      <x:c r="S26" s="24" t="str">
        <x:f>VLOOKUP(P26,'表单1_清洗'!$A$2:$E$59,5,FALSE)</x:f>
        <x:v>风化</x:v>
      </x:c>
      <x:c r="T26" s="24" t="str">
        <x:f>IF(ISNUMBER(SEARCH("未风化点",A26)),"无风化",IF(ISNUMBER(SEARCH("严重风化点",A26)),"风化",S26))</x:f>
        <x:v>风化</x:v>
      </x:c>
      <x:c r="U26" s="36" t="n">
        <x:f>SUM(B26:O26)</x:f>
        <x:v>99.99999999999997</x:v>
      </x:c>
      <x:c r="V26" s="24" t="str">
        <x:f>IF(AND(U26&gt;=85,U26&lt;=105),"有效","无效")</x:f>
        <x:v>有效</x:v>
      </x:c>
      <x:c r="W26" s="24" t="n">
        <x:f>COUNTBLANK(B26:O26)+COUNTIF(B26:O26,0)</x:f>
        <x:v>6</x:v>
      </x:c>
      <x:c r="X26" s="37" t="n">
        <x:f>IF($V26="无效","",IF(B26="",0,B26/$U26*100))</x:f>
        <x:v>92.35000000000002</x:v>
      </x:c>
      <x:c r="Y26" s="37" t="n">
        <x:f>IF($V26="无效","",IF(C26="",0,C26/$U26*100))</x:f>
        <x:v>0</x:v>
      </x:c>
      <x:c r="Z26" s="37" t="n">
        <x:f>IF($V26="无效","",IF(D26="",0,D26/$U26*100))</x:f>
        <x:v>0.7400000000000002</x:v>
      </x:c>
      <x:c r="AA26" s="37" t="n">
        <x:f>IF($V26="无效","",IF(E26="",0,E26/$U26*100))</x:f>
        <x:v>1.6600000000000004</x:v>
      </x:c>
      <x:c r="AB26" s="37" t="n">
        <x:f>IF($V26="无效","",IF(F26="",0,F26/$U26*100))</x:f>
        <x:v>0.6400000000000002</x:v>
      </x:c>
      <x:c r="AC26" s="37" t="n">
        <x:f>IF($V26="无效","",IF(G26="",0,G26/$U26*100))</x:f>
        <x:v>3.500000000000001</x:v>
      </x:c>
      <x:c r="AD26" s="37" t="n">
        <x:f>IF($V26="无效","",IF(H26="",0,H26/$U26*100))</x:f>
        <x:v>0.3500000000000001</x:v>
      </x:c>
      <x:c r="AE26" s="37" t="n">
        <x:f>IF($V26="无效","",IF(I26="",0,I26/$U26*100))</x:f>
        <x:v>0.5500000000000003</x:v>
      </x:c>
      <x:c r="AF26" s="37" t="n">
        <x:f>IF($V26="无效","",IF(J26="",0,J26/$U26*100))</x:f>
        <x:v>0</x:v>
      </x:c>
      <x:c r="AG26" s="37" t="n">
        <x:f>IF($V26="无效","",IF(K26="",0,K26/$U26*100))</x:f>
        <x:v>0</x:v>
      </x:c>
      <x:c r="AH26" s="37" t="n">
        <x:f>IF($V26="无效","",IF(L26="",0,L26/$U26*100))</x:f>
        <x:v>0.21000000000000002</x:v>
      </x:c>
      <x:c r="AI26" s="37" t="n">
        <x:f>IF($V26="无效","",IF(M26="",0,M26/$U26*100))</x:f>
        <x:v>0</x:v>
      </x:c>
      <x:c r="AJ26" s="37" t="n">
        <x:f>IF($V26="无效","",IF(N26="",0,N26/$U26*100))</x:f>
        <x:v>0</x:v>
      </x:c>
      <x:c r="AK26" s="37" t="n">
        <x:f>IF($V26="无效","",IF(O26="",0,O26/$U26*100))</x:f>
        <x:v>0</x:v>
      </x:c>
      <x:c r="AL26" s="37" t="n">
        <x:f>IF(V26="有效",SUM(X26:AK26),"")</x:f>
        <x:v>100</x:v>
      </x:c>
    </x:row>
    <x:row r="27">
      <x:c r="A27" s="32" t="str">
        <x:v>23未风化点</x:v>
      </x:c>
      <x:c r="B27" s="33" t="n">
        <x:v>53.79</x:v>
      </x:c>
      <x:c r="C27" s="33" t="n">
        <x:v>7.92</x:v>
      </x:c>
      <x:c r="D27" s="33"/>
      <x:c r="E27" s="33" t="n">
        <x:v>0.5</x:v>
      </x:c>
      <x:c r="F27" s="33" t="n">
        <x:v>0.71</x:v>
      </x:c>
      <x:c r="G27" s="33" t="n">
        <x:v>1.42</x:v>
      </x:c>
      <x:c r="H27" s="33"/>
      <x:c r="I27" s="33" t="n">
        <x:v>2.99</x:v>
      </x:c>
      <x:c r="J27" s="33" t="n">
        <x:v>16.98</x:v>
      </x:c>
      <x:c r="K27" s="33" t="n">
        <x:v>11.86</x:v>
      </x:c>
      <x:c r="L27" s="33"/>
      <x:c r="M27" s="33" t="n">
        <x:v>0.33</x:v>
      </x:c>
      <x:c r="N27" s="33"/>
      <x:c r="O27" s="33"/>
      <x:c r="P27" s="38" t="str">
        <x:v>23</x:v>
      </x:c>
      <x:c r="Q27" s="24" t="str">
        <x:f>IF(ISNUMBER(SEARCH("未风化点",A27)),"未风化点",IF(ISNUMBER(SEARCH("严重风化点",A27)),"严重风化点",IF(ISNUMBER(SEARCH("部位",A27)),"不同部位","普通采样点")))</x:f>
        <x:v>未风化点</x:v>
      </x:c>
      <x:c r="R27" s="24" t="str">
        <x:f>VLOOKUP(P27,'表单1_清洗'!$A$2:$E$59,3,FALSE)</x:f>
        <x:v>铅钡</x:v>
      </x:c>
      <x:c r="S27" s="24" t="str">
        <x:f>VLOOKUP(P27,'表单1_清洗'!$A$2:$E$59,5,FALSE)</x:f>
        <x:v>风化</x:v>
      </x:c>
      <x:c r="T27" s="24" t="str">
        <x:f>IF(ISNUMBER(SEARCH("未风化点",A27)),"无风化",IF(ISNUMBER(SEARCH("严重风化点",A27)),"风化",S27))</x:f>
        <x:v>无风化</x:v>
      </x:c>
      <x:c r="U27" s="36" t="n">
        <x:f>SUM(B27:O27)</x:f>
        <x:v>96.5</x:v>
      </x:c>
      <x:c r="V27" s="24" t="str">
        <x:f>IF(AND(U27&gt;=85,U27&lt;=105),"有效","无效")</x:f>
        <x:v>有效</x:v>
      </x:c>
      <x:c r="W27" s="24" t="n">
        <x:f>COUNTBLANK(B27:O27)+COUNTIF(B27:O27,0)</x:f>
        <x:v>5</x:v>
      </x:c>
      <x:c r="X27" s="37" t="n">
        <x:f>IF($V27="无效","",IF(B27="",0,B27/$U27*100))</x:f>
        <x:v>55.74093264248705</x:v>
      </x:c>
      <x:c r="Y27" s="37" t="n">
        <x:f>IF($V27="无效","",IF(C27="",0,C27/$U27*100))</x:f>
        <x:v>8.207253886010363</x:v>
      </x:c>
      <x:c r="Z27" s="37" t="n">
        <x:f>IF($V27="无效","",IF(D27="",0,D27/$U27*100))</x:f>
        <x:v>0</x:v>
      </x:c>
      <x:c r="AA27" s="37" t="n">
        <x:f>IF($V27="无效","",IF(E27="",0,E27/$U27*100))</x:f>
        <x:v>0.5181347150259068</x:v>
      </x:c>
      <x:c r="AB27" s="37" t="n">
        <x:f>IF($V27="无效","",IF(F27="",0,F27/$U27*100))</x:f>
        <x:v>0.7357512953367875</x:v>
      </x:c>
      <x:c r="AC27" s="37" t="n">
        <x:f>IF($V27="无效","",IF(G27="",0,G27/$U27*100))</x:f>
        <x:v>1.471502590673575</x:v>
      </x:c>
      <x:c r="AD27" s="37" t="n">
        <x:f>IF($V27="无效","",IF(H27="",0,H27/$U27*100))</x:f>
        <x:v>0</x:v>
      </x:c>
      <x:c r="AE27" s="37" t="n">
        <x:f>IF($V27="无效","",IF(I27="",0,I27/$U27*100))</x:f>
        <x:v>3.098445595854922</x:v>
      </x:c>
      <x:c r="AF27" s="37" t="n">
        <x:f>IF($V27="无效","",IF(J27="",0,J27/$U27*100))</x:f>
        <x:v>17.595854922279795</x:v>
      </x:c>
      <x:c r="AG27" s="37" t="n">
        <x:f>IF($V27="无效","",IF(K27="",0,K27/$U27*100))</x:f>
        <x:v>12.290155440414507</x:v>
      </x:c>
      <x:c r="AH27" s="37" t="n">
        <x:f>IF($V27="无效","",IF(L27="",0,L27/$U27*100))</x:f>
        <x:v>0</x:v>
      </x:c>
      <x:c r="AI27" s="37" t="n">
        <x:f>IF($V27="无效","",IF(M27="",0,M27/$U27*100))</x:f>
        <x:v>0.3419689119170985</x:v>
      </x:c>
      <x:c r="AJ27" s="37" t="n">
        <x:f>IF($V27="无效","",IF(N27="",0,N27/$U27*100))</x:f>
        <x:v>0</x:v>
      </x:c>
      <x:c r="AK27" s="37" t="n">
        <x:f>IF($V27="无效","",IF(O27="",0,O27/$U27*100))</x:f>
        <x:v>0</x:v>
      </x:c>
      <x:c r="AL27" s="37" t="n">
        <x:f>IF(V27="有效",SUM(X27:AK27),"")</x:f>
        <x:v>100.00000000000001</x:v>
      </x:c>
    </x:row>
    <x:row r="28">
      <x:c r="A28" s="32" t="str">
        <x:v>24</x:v>
      </x:c>
      <x:c r="B28" s="33" t="n">
        <x:v>31.94</x:v>
      </x:c>
      <x:c r="C28" s="33"/>
      <x:c r="D28" s="33"/>
      <x:c r="E28" s="33" t="n">
        <x:v>0.47</x:v>
      </x:c>
      <x:c r="F28" s="33"/>
      <x:c r="G28" s="33" t="n">
        <x:v>1.59</x:v>
      </x:c>
      <x:c r="H28" s="33"/>
      <x:c r="I28" s="33" t="n">
        <x:v>8.46</x:v>
      </x:c>
      <x:c r="J28" s="33" t="n">
        <x:v>29.14</x:v>
      </x:c>
      <x:c r="K28" s="33" t="n">
        <x:v>26.23</x:v>
      </x:c>
      <x:c r="L28" s="33" t="n">
        <x:v>0.14</x:v>
      </x:c>
      <x:c r="M28" s="33" t="n">
        <x:v>0.91</x:v>
      </x:c>
      <x:c r="N28" s="33"/>
      <x:c r="O28" s="33"/>
      <x:c r="P28" s="38" t="str">
        <x:v>24</x:v>
      </x:c>
      <x:c r="Q28" s="24" t="str">
        <x:f>IF(ISNUMBER(SEARCH("未风化点",A28)),"未风化点",IF(ISNUMBER(SEARCH("严重风化点",A28)),"严重风化点",IF(ISNUMBER(SEARCH("部位",A28)),"不同部位","普通采样点")))</x:f>
        <x:v>普通采样点</x:v>
      </x:c>
      <x:c r="R28" s="24" t="str">
        <x:f>VLOOKUP(P28,'表单1_清洗'!$A$2:$E$59,3,FALSE)</x:f>
        <x:v>铅钡</x:v>
      </x:c>
      <x:c r="S28" s="24" t="str">
        <x:f>VLOOKUP(P28,'表单1_清洗'!$A$2:$E$59,5,FALSE)</x:f>
        <x:v>无风化</x:v>
      </x:c>
      <x:c r="T28" s="24" t="str">
        <x:f>IF(ISNUMBER(SEARCH("未风化点",A28)),"无风化",IF(ISNUMBER(SEARCH("严重风化点",A28)),"风化",S28))</x:f>
        <x:v>无风化</x:v>
      </x:c>
      <x:c r="U28" s="36" t="n">
        <x:f>SUM(B28:O28)</x:f>
        <x:v>98.88000000000001</x:v>
      </x:c>
      <x:c r="V28" s="24" t="str">
        <x:f>IF(AND(U28&gt;=85,U28&lt;=105),"有效","无效")</x:f>
        <x:v>有效</x:v>
      </x:c>
      <x:c r="W28" s="24" t="n">
        <x:f>COUNTBLANK(B28:O28)+COUNTIF(B28:O28,0)</x:f>
        <x:v>6</x:v>
      </x:c>
      <x:c r="X28" s="37" t="n">
        <x:f>IF($V28="无效","",IF(B28="",0,B28/$U28*100))</x:f>
        <x:v>32.30177993527508</x:v>
      </x:c>
      <x:c r="Y28" s="37" t="n">
        <x:f>IF($V28="无效","",IF(C28="",0,C28/$U28*100))</x:f>
        <x:v>0</x:v>
      </x:c>
      <x:c r="Z28" s="37" t="n">
        <x:f>IF($V28="无效","",IF(D28="",0,D28/$U28*100))</x:f>
        <x:v>0</x:v>
      </x:c>
      <x:c r="AA28" s="37" t="n">
        <x:f>IF($V28="无效","",IF(E28="",0,E28/$U28*100))</x:f>
        <x:v>0.4753236245954692</x:v>
      </x:c>
      <x:c r="AB28" s="37" t="n">
        <x:f>IF($V28="无效","",IF(F28="",0,F28/$U28*100))</x:f>
        <x:v>0</x:v>
      </x:c>
      <x:c r="AC28" s="37" t="n">
        <x:f>IF($V28="无效","",IF(G28="",0,G28/$U28*100))</x:f>
        <x:v>1.608009708737864</x:v>
      </x:c>
      <x:c r="AD28" s="37" t="n">
        <x:f>IF($V28="无效","",IF(H28="",0,H28/$U28*100))</x:f>
        <x:v>0</x:v>
      </x:c>
      <x:c r="AE28" s="37" t="n">
        <x:f>IF($V28="无效","",IF(I28="",0,I28/$U28*100))</x:f>
        <x:v>8.555825242718447</x:v>
      </x:c>
      <x:c r="AF28" s="37" t="n">
        <x:f>IF($V28="无效","",IF(J28="",0,J28/$U28*100))</x:f>
        <x:v>29.470064724919094</x:v>
      </x:c>
      <x:c r="AG28" s="37" t="n">
        <x:f>IF($V28="无效","",IF(K28="",0,K28/$U28*100))</x:f>
        <x:v>26.527103559870547</x:v>
      </x:c>
      <x:c r="AH28" s="37" t="n">
        <x:f>IF($V28="无效","",IF(L28="",0,L28/$U28*100))</x:f>
        <x:v>0.14158576051779936</x:v>
      </x:c>
      <x:c r="AI28" s="37" t="n">
        <x:f>IF($V28="无效","",IF(M28="",0,M28/$U28*100))</x:f>
        <x:v>0.9203074433656958</x:v>
      </x:c>
      <x:c r="AJ28" s="37" t="n">
        <x:f>IF($V28="无效","",IF(N28="",0,N28/$U28*100))</x:f>
        <x:v>0</x:v>
      </x:c>
      <x:c r="AK28" s="37" t="n">
        <x:f>IF($V28="无效","",IF(O28="",0,O28/$U28*100))</x:f>
        <x:v>0</x:v>
      </x:c>
      <x:c r="AL28" s="37" t="n">
        <x:f>IF(V28="有效",SUM(X28:AK28),"")</x:f>
        <x:v>100</x:v>
      </x:c>
    </x:row>
    <x:row r="29">
      <x:c r="A29" s="32" t="str">
        <x:v>25未风化点</x:v>
      </x:c>
      <x:c r="B29" s="33" t="n">
        <x:v>50.61</x:v>
      </x:c>
      <x:c r="C29" s="33" t="n">
        <x:v>2.31</x:v>
      </x:c>
      <x:c r="D29" s="33"/>
      <x:c r="E29" s="33" t="n">
        <x:v>0.63</x:v>
      </x:c>
      <x:c r="F29" s="33"/>
      <x:c r="G29" s="33" t="n">
        <x:v>1.9</x:v>
      </x:c>
      <x:c r="H29" s="33" t="n">
        <x:v>1.55</x:v>
      </x:c>
      <x:c r="I29" s="33" t="n">
        <x:v>1.12</x:v>
      </x:c>
      <x:c r="J29" s="33" t="n">
        <x:v>31.9</x:v>
      </x:c>
      <x:c r="K29" s="33" t="n">
        <x:v>6.65</x:v>
      </x:c>
      <x:c r="L29" s="33" t="n">
        <x:v>0.19</x:v>
      </x:c>
      <x:c r="M29" s="33" t="n">
        <x:v>0.2</x:v>
      </x:c>
      <x:c r="N29" s="33"/>
      <x:c r="O29" s="33"/>
      <x:c r="P29" s="38" t="str">
        <x:v>25</x:v>
      </x:c>
      <x:c r="Q29" s="24" t="str">
        <x:f>IF(ISNUMBER(SEARCH("未风化点",A29)),"未风化点",IF(ISNUMBER(SEARCH("严重风化点",A29)),"严重风化点",IF(ISNUMBER(SEARCH("部位",A29)),"不同部位","普通采样点")))</x:f>
        <x:v>未风化点</x:v>
      </x:c>
      <x:c r="R29" s="24" t="str">
        <x:f>VLOOKUP(P29,'表单1_清洗'!$A$2:$E$59,3,FALSE)</x:f>
        <x:v>铅钡</x:v>
      </x:c>
      <x:c r="S29" s="24" t="str">
        <x:f>VLOOKUP(P29,'表单1_清洗'!$A$2:$E$59,5,FALSE)</x:f>
        <x:v>风化</x:v>
      </x:c>
      <x:c r="T29" s="24" t="str">
        <x:f>IF(ISNUMBER(SEARCH("未风化点",A29)),"无风化",IF(ISNUMBER(SEARCH("严重风化点",A29)),"风化",S29))</x:f>
        <x:v>无风化</x:v>
      </x:c>
      <x:c r="U29" s="36" t="n">
        <x:f>SUM(B29:O29)</x:f>
        <x:v>97.06</x:v>
      </x:c>
      <x:c r="V29" s="24" t="str">
        <x:f>IF(AND(U29&gt;=85,U29&lt;=105),"有效","无效")</x:f>
        <x:v>有效</x:v>
      </x:c>
      <x:c r="W29" s="24" t="n">
        <x:f>COUNTBLANK(B29:O29)+COUNTIF(B29:O29,0)</x:f>
        <x:v>4</x:v>
      </x:c>
      <x:c r="X29" s="37" t="n">
        <x:f>IF($V29="无效","",IF(B29="",0,B29/$U29*100))</x:f>
        <x:v>52.143004327220275</x:v>
      </x:c>
      <x:c r="Y29" s="37" t="n">
        <x:f>IF($V29="无效","",IF(C29="",0,C29/$U29*100))</x:f>
        <x:v>2.379971151864826</x:v>
      </x:c>
      <x:c r="Z29" s="37" t="n">
        <x:f>IF($V29="无效","",IF(D29="",0,D29/$U29*100))</x:f>
        <x:v>0</x:v>
      </x:c>
      <x:c r="AA29" s="37" t="n">
        <x:f>IF($V29="无效","",IF(E29="",0,E29/$U29*100))</x:f>
        <x:v>0.6490830414176797</x:v>
      </x:c>
      <x:c r="AB29" s="37" t="n">
        <x:f>IF($V29="无效","",IF(F29="",0,F29/$U29*100))</x:f>
        <x:v>0</x:v>
      </x:c>
      <x:c r="AC29" s="37" t="n">
        <x:f>IF($V29="无效","",IF(G29="",0,G29/$U29*100))</x:f>
        <x:v>1.9575520296723676</x:v>
      </x:c>
      <x:c r="AD29" s="37" t="n">
        <x:f>IF($V29="无效","",IF(H29="",0,H29/$U29*100))</x:f>
        <x:v>1.5969503399958789</x:v>
      </x:c>
      <x:c r="AE29" s="37" t="n">
        <x:f>IF($V29="无效","",IF(I29="",0,I29/$U29*100))</x:f>
        <x:v>1.153925406964764</x:v>
      </x:c>
      <x:c r="AF29" s="37" t="n">
        <x:f>IF($V29="无效","",IF(J29="",0,J29/$U29*100))</x:f>
        <x:v>32.86626828765712</x:v>
      </x:c>
      <x:c r="AG29" s="37" t="n">
        <x:f>IF($V29="无效","",IF(K29="",0,K29/$U29*100))</x:f>
        <x:v>6.851432103853288</x:v>
      </x:c>
      <x:c r="AH29" s="37" t="n">
        <x:f>IF($V29="无效","",IF(L29="",0,L29/$U29*100))</x:f>
        <x:v>0.19575520296723675</x:v>
      </x:c>
      <x:c r="AI29" s="37" t="n">
        <x:f>IF($V29="无效","",IF(M29="",0,M29/$U29*100))</x:f>
        <x:v>0.20605810838656502</x:v>
      </x:c>
      <x:c r="AJ29" s="37" t="n">
        <x:f>IF($V29="无效","",IF(N29="",0,N29/$U29*100))</x:f>
        <x:v>0</x:v>
      </x:c>
      <x:c r="AK29" s="37" t="n">
        <x:f>IF($V29="无效","",IF(O29="",0,O29/$U29*100))</x:f>
        <x:v>0</x:v>
      </x:c>
      <x:c r="AL29" s="37" t="n">
        <x:f>IF(V29="有效",SUM(X29:AK29),"")</x:f>
        <x:v>100.00000000000001</x:v>
      </x:c>
    </x:row>
    <x:row r="30">
      <x:c r="A30" s="32" t="str">
        <x:v>26</x:v>
      </x:c>
      <x:c r="B30" s="33" t="n">
        <x:v>19.79</x:v>
      </x:c>
      <x:c r="C30" s="33"/>
      <x:c r="D30" s="33"/>
      <x:c r="E30" s="33" t="n">
        <x:v>1.44</x:v>
      </x:c>
      <x:c r="F30" s="33"/>
      <x:c r="G30" s="33" t="n">
        <x:v>0.7</x:v>
      </x:c>
      <x:c r="H30" s="33"/>
      <x:c r="I30" s="33" t="n">
        <x:v>10.57</x:v>
      </x:c>
      <x:c r="J30" s="33" t="n">
        <x:v>29.53</x:v>
      </x:c>
      <x:c r="K30" s="33" t="n">
        <x:v>32.25</x:v>
      </x:c>
      <x:c r="L30" s="33" t="n">
        <x:v>3.13</x:v>
      </x:c>
      <x:c r="M30" s="33" t="n">
        <x:v>0.45</x:v>
      </x:c>
      <x:c r="N30" s="33"/>
      <x:c r="O30" s="33" t="n">
        <x:v>1.96</x:v>
      </x:c>
      <x:c r="P30" s="38" t="str">
        <x:v>26</x:v>
      </x:c>
      <x:c r="Q30" s="24" t="str">
        <x:f>IF(ISNUMBER(SEARCH("未风化点",A30)),"未风化点",IF(ISNUMBER(SEARCH("严重风化点",A30)),"严重风化点",IF(ISNUMBER(SEARCH("部位",A30)),"不同部位","普通采样点")))</x:f>
        <x:v>普通采样点</x:v>
      </x:c>
      <x:c r="R30" s="24" t="str">
        <x:f>VLOOKUP(P30,'表单1_清洗'!$A$2:$E$59,3,FALSE)</x:f>
        <x:v>铅钡</x:v>
      </x:c>
      <x:c r="S30" s="24" t="str">
        <x:f>VLOOKUP(P30,'表单1_清洗'!$A$2:$E$59,5,FALSE)</x:f>
        <x:v>风化</x:v>
      </x:c>
      <x:c r="T30" s="24" t="str">
        <x:f>IF(ISNUMBER(SEARCH("未风化点",A30)),"无风化",IF(ISNUMBER(SEARCH("严重风化点",A30)),"风化",S30))</x:f>
        <x:v>风化</x:v>
      </x:c>
      <x:c r="U30" s="36" t="n">
        <x:f>SUM(B30:O30)</x:f>
        <x:v>99.82</x:v>
      </x:c>
      <x:c r="V30" s="24" t="str">
        <x:f>IF(AND(U30&gt;=85,U30&lt;=105),"有效","无效")</x:f>
        <x:v>有效</x:v>
      </x:c>
      <x:c r="W30" s="24" t="n">
        <x:f>COUNTBLANK(B30:O30)+COUNTIF(B30:O30,0)</x:f>
        <x:v>5</x:v>
      </x:c>
      <x:c r="X30" s="37" t="n">
        <x:f>IF($V30="无效","",IF(B30="",0,B30/$U30*100))</x:f>
        <x:v>19.8256862352234</x:v>
      </x:c>
      <x:c r="Y30" s="37" t="n">
        <x:f>IF($V30="无效","",IF(C30="",0,C30/$U30*100))</x:f>
        <x:v>0</x:v>
      </x:c>
      <x:c r="Z30" s="37" t="n">
        <x:f>IF($V30="无效","",IF(D30="",0,D30/$U30*100))</x:f>
        <x:v>0</x:v>
      </x:c>
      <x:c r="AA30" s="37" t="n">
        <x:f>IF($V30="无效","",IF(E30="",0,E30/$U30*100))</x:f>
        <x:v>1.442596674013224</x:v>
      </x:c>
      <x:c r="AB30" s="37" t="n">
        <x:f>IF($V30="无效","",IF(F30="",0,F30/$U30*100))</x:f>
        <x:v>0</x:v>
      </x:c>
      <x:c r="AC30" s="37" t="n">
        <x:f>IF($V30="无效","",IF(G30="",0,G30/$U30*100))</x:f>
        <x:v>0.7012622720897616</x:v>
      </x:c>
      <x:c r="AD30" s="37" t="n">
        <x:f>IF($V30="无效","",IF(H30="",0,H30/$U30*100))</x:f>
        <x:v>0</x:v>
      </x:c>
      <x:c r="AE30" s="37" t="n">
        <x:f>IF($V30="无效","",IF(I30="",0,I30/$U30*100))</x:f>
        <x:v>10.589060308555402</x:v>
      </x:c>
      <x:c r="AF30" s="37" t="n">
        <x:f>IF($V30="无效","",IF(J30="",0,J30/$U30*100))</x:f>
        <x:v>29.583249849729516</x:v>
      </x:c>
      <x:c r="AG30" s="37" t="n">
        <x:f>IF($V30="无效","",IF(K30="",0,K30/$U30*100))</x:f>
        <x:v>32.30815467842116</x:v>
      </x:c>
      <x:c r="AH30" s="37" t="n">
        <x:f>IF($V30="无效","",IF(L30="",0,L30/$U30*100))</x:f>
        <x:v>3.135644159487077</x:v>
      </x:c>
      <x:c r="AI30" s="37" t="n">
        <x:f>IF($V30="无效","",IF(M30="",0,M30/$U30*100))</x:f>
        <x:v>0.4508114606291325</x:v>
      </x:c>
      <x:c r="AJ30" s="37" t="n">
        <x:f>IF($V30="无效","",IF(N30="",0,N30/$U30*100))</x:f>
        <x:v>0</x:v>
      </x:c>
      <x:c r="AK30" s="37" t="n">
        <x:f>IF($V30="无效","",IF(O30="",0,O30/$U30*100))</x:f>
        <x:v>1.9635343618513323</x:v>
      </x:c>
      <x:c r="AL30" s="37" t="n">
        <x:f>IF(V30="有效",SUM(X30:AK30),"")</x:f>
        <x:v>99.99999999999999</x:v>
      </x:c>
    </x:row>
    <x:row r="31">
      <x:c r="A31" s="32" t="str">
        <x:v>26严重风化点</x:v>
      </x:c>
      <x:c r="B31" s="33" t="n">
        <x:v>3.72</x:v>
      </x:c>
      <x:c r="C31" s="33"/>
      <x:c r="D31" s="33" t="n">
        <x:v>0.4</x:v>
      </x:c>
      <x:c r="E31" s="33" t="n">
        <x:v>3.01</x:v>
      </x:c>
      <x:c r="F31" s="33"/>
      <x:c r="G31" s="33" t="n">
        <x:v>1.18</x:v>
      </x:c>
      <x:c r="H31" s="33"/>
      <x:c r="I31" s="33" t="n">
        <x:v>3.6</x:v>
      </x:c>
      <x:c r="J31" s="33" t="n">
        <x:v>29.92</x:v>
      </x:c>
      <x:c r="K31" s="33" t="n">
        <x:v>35.45</x:v>
      </x:c>
      <x:c r="L31" s="33" t="n">
        <x:v>6.04</x:v>
      </x:c>
      <x:c r="M31" s="33" t="n">
        <x:v>0.62</x:v>
      </x:c>
      <x:c r="N31" s="33"/>
      <x:c r="O31" s="33" t="n">
        <x:v>15.95</x:v>
      </x:c>
      <x:c r="P31" s="38" t="str">
        <x:v>26</x:v>
      </x:c>
      <x:c r="Q31" s="24" t="str">
        <x:f>IF(ISNUMBER(SEARCH("未风化点",A31)),"未风化点",IF(ISNUMBER(SEARCH("严重风化点",A31)),"严重风化点",IF(ISNUMBER(SEARCH("部位",A31)),"不同部位","普通采样点")))</x:f>
        <x:v>严重风化点</x:v>
      </x:c>
      <x:c r="R31" s="24" t="str">
        <x:f>VLOOKUP(P31,'表单1_清洗'!$A$2:$E$59,3,FALSE)</x:f>
        <x:v>铅钡</x:v>
      </x:c>
      <x:c r="S31" s="24" t="str">
        <x:f>VLOOKUP(P31,'表单1_清洗'!$A$2:$E$59,5,FALSE)</x:f>
        <x:v>风化</x:v>
      </x:c>
      <x:c r="T31" s="24" t="str">
        <x:f>IF(ISNUMBER(SEARCH("未风化点",A31)),"无风化",IF(ISNUMBER(SEARCH("严重风化点",A31)),"风化",S31))</x:f>
        <x:v>风化</x:v>
      </x:c>
      <x:c r="U31" s="36" t="n">
        <x:f>SUM(B31:O31)</x:f>
        <x:v>99.89000000000001</x:v>
      </x:c>
      <x:c r="V31" s="24" t="str">
        <x:f>IF(AND(U31&gt;=85,U31&lt;=105),"有效","无效")</x:f>
        <x:v>有效</x:v>
      </x:c>
      <x:c r="W31" s="24" t="n">
        <x:f>COUNTBLANK(B31:O31)+COUNTIF(B31:O31,0)</x:f>
        <x:v>4</x:v>
      </x:c>
      <x:c r="X31" s="37" t="n">
        <x:f>IF($V31="无效","",IF(B31="",0,B31/$U31*100))</x:f>
        <x:v>3.7240965061567723</x:v>
      </x:c>
      <x:c r="Y31" s="37" t="n">
        <x:f>IF($V31="无效","",IF(C31="",0,C31/$U31*100))</x:f>
        <x:v>0</x:v>
      </x:c>
      <x:c r="Z31" s="37" t="n">
        <x:f>IF($V31="无效","",IF(D31="",0,D31/$U31*100))</x:f>
        <x:v>0.4004404845329862</x:v>
      </x:c>
      <x:c r="AA31" s="37" t="n">
        <x:f>IF($V31="无效","",IF(E31="",0,E31/$U31*100))</x:f>
        <x:v>3.013314646110721</x:v>
      </x:c>
      <x:c r="AB31" s="37" t="n">
        <x:f>IF($V31="无效","",IF(F31="",0,F31/$U31*100))</x:f>
        <x:v>0</x:v>
      </x:c>
      <x:c r="AC31" s="37" t="n">
        <x:f>IF($V31="无效","",IF(G31="",0,G31/$U31*100))</x:f>
        <x:v>1.1812994293723094</x:v>
      </x:c>
      <x:c r="AD31" s="37" t="n">
        <x:f>IF($V31="无效","",IF(H31="",0,H31/$U31*100))</x:f>
        <x:v>0</x:v>
      </x:c>
      <x:c r="AE31" s="37" t="n">
        <x:f>IF($V31="无效","",IF(I31="",0,I31/$U31*100))</x:f>
        <x:v>3.6039643607968763</x:v>
      </x:c>
      <x:c r="AF31" s="37" t="n">
        <x:f>IF($V31="无效","",IF(J31="",0,J31/$U31*100))</x:f>
        <x:v>29.95294824306737</x:v>
      </x:c>
      <x:c r="AG31" s="37" t="n">
        <x:f>IF($V31="无效","",IF(K31="",0,K31/$U31*100))</x:f>
        <x:v>35.48903794173591</x:v>
      </x:c>
      <x:c r="AH31" s="37" t="n">
        <x:f>IF($V31="无效","",IF(L31="",0,L31/$U31*100))</x:f>
        <x:v>6.046651316448092</x:v>
      </x:c>
      <x:c r="AI31" s="37" t="n">
        <x:f>IF($V31="无效","",IF(M31="",0,M31/$U31*100))</x:f>
        <x:v>0.6206827510261286</x:v>
      </x:c>
      <x:c r="AJ31" s="37" t="n">
        <x:f>IF($V31="无效","",IF(N31="",0,N31/$U31*100))</x:f>
        <x:v>0</x:v>
      </x:c>
      <x:c r="AK31" s="37" t="n">
        <x:f>IF($V31="无效","",IF(O31="",0,O31/$U31*100))</x:f>
        <x:v>15.967564320752825</x:v>
      </x:c>
      <x:c r="AL31" s="37" t="n">
        <x:f>IF(V31="有效",SUM(X31:AK31),"")</x:f>
        <x:v>100</x:v>
      </x:c>
    </x:row>
    <x:row r="32">
      <x:c r="A32" s="32" t="str">
        <x:v>27</x:v>
      </x:c>
      <x:c r="B32" s="33" t="n">
        <x:v>92.72</x:v>
      </x:c>
      <x:c r="C32" s="33"/>
      <x:c r="D32" s="33"/>
      <x:c r="E32" s="33" t="n">
        <x:v>0.94</x:v>
      </x:c>
      <x:c r="F32" s="33" t="n">
        <x:v>0.54</x:v>
      </x:c>
      <x:c r="G32" s="33" t="n">
        <x:v>2.51</x:v>
      </x:c>
      <x:c r="H32" s="33" t="n">
        <x:v>0.2</x:v>
      </x:c>
      <x:c r="I32" s="33" t="n">
        <x:v>1.54</x:v>
      </x:c>
      <x:c r="J32" s="33"/>
      <x:c r="K32" s="33"/>
      <x:c r="L32" s="33" t="n">
        <x:v>0.36</x:v>
      </x:c>
      <x:c r="M32" s="33"/>
      <x:c r="N32" s="33"/>
      <x:c r="O32" s="33"/>
      <x:c r="P32" s="38" t="str">
        <x:v>27</x:v>
      </x:c>
      <x:c r="Q32" s="24" t="str">
        <x:f>IF(ISNUMBER(SEARCH("未风化点",A32)),"未风化点",IF(ISNUMBER(SEARCH("严重风化点",A32)),"严重风化点",IF(ISNUMBER(SEARCH("部位",A32)),"不同部位","普通采样点")))</x:f>
        <x:v>普通采样点</x:v>
      </x:c>
      <x:c r="R32" s="24" t="str">
        <x:f>VLOOKUP(P32,'表单1_清洗'!$A$2:$E$59,3,FALSE)</x:f>
        <x:v>高钾</x:v>
      </x:c>
      <x:c r="S32" s="24" t="str">
        <x:f>VLOOKUP(P32,'表单1_清洗'!$A$2:$E$59,5,FALSE)</x:f>
        <x:v>风化</x:v>
      </x:c>
      <x:c r="T32" s="24" t="str">
        <x:f>IF(ISNUMBER(SEARCH("未风化点",A32)),"无风化",IF(ISNUMBER(SEARCH("严重风化点",A32)),"风化",S32))</x:f>
        <x:v>风化</x:v>
      </x:c>
      <x:c r="U32" s="36" t="n">
        <x:f>SUM(B32:O32)</x:f>
        <x:v>98.81000000000002</x:v>
      </x:c>
      <x:c r="V32" s="24" t="str">
        <x:f>IF(AND(U32&gt;=85,U32&lt;=105),"有效","无效")</x:f>
        <x:v>有效</x:v>
      </x:c>
      <x:c r="W32" s="24" t="n">
        <x:f>COUNTBLANK(B32:O32)+COUNTIF(B32:O32,0)</x:f>
        <x:v>7</x:v>
      </x:c>
      <x:c r="X32" s="37" t="n">
        <x:f>IF($V32="无效","",IF(B32="",0,B32/$U32*100))</x:f>
        <x:v>93.83665620888573</x:v>
      </x:c>
      <x:c r="Y32" s="37" t="n">
        <x:f>IF($V32="无效","",IF(C32="",0,C32/$U32*100))</x:f>
        <x:v>0</x:v>
      </x:c>
      <x:c r="Z32" s="37" t="n">
        <x:f>IF($V32="无效","",IF(D32="",0,D32/$U32*100))</x:f>
        <x:v>0</x:v>
      </x:c>
      <x:c r="AA32" s="37" t="n">
        <x:f>IF($V32="无效","",IF(E32="",0,E32/$U32*100))</x:f>
        <x:v>0.951320716526667</x:v>
      </x:c>
      <x:c r="AB32" s="37" t="n">
        <x:f>IF($V32="无效","",IF(F32="",0,F32/$U32*100))</x:f>
        <x:v>0.5465033903451066</x:v>
      </x:c>
      <x:c r="AC32" s="37" t="n">
        <x:f>IF($V32="无效","",IF(G32="",0,G32/$U32*100))</x:f>
        <x:v>2.540228721789292</x:v>
      </x:c>
      <x:c r="AD32" s="37" t="n">
        <x:f>IF($V32="无效","",IF(H32="",0,H32/$U32*100))</x:f>
        <x:v>0.20240866309078026</x:v>
      </x:c>
      <x:c r="AE32" s="37" t="n">
        <x:f>IF($V32="无效","",IF(I32="",0,I32/$U32*100))</x:f>
        <x:v>1.5585467057990081</x:v>
      </x:c>
      <x:c r="AF32" s="37" t="n">
        <x:f>IF($V32="无效","",IF(J32="",0,J32/$U32*100))</x:f>
        <x:v>0</x:v>
      </x:c>
      <x:c r="AG32" s="37" t="n">
        <x:f>IF($V32="无效","",IF(K32="",0,K32/$U32*100))</x:f>
        <x:v>0</x:v>
      </x:c>
      <x:c r="AH32" s="37" t="n">
        <x:f>IF($V32="无效","",IF(L32="",0,L32/$U32*100))</x:f>
        <x:v>0.36433559356340445</x:v>
      </x:c>
      <x:c r="AI32" s="37" t="n">
        <x:f>IF($V32="无效","",IF(M32="",0,M32/$U32*100))</x:f>
        <x:v>0</x:v>
      </x:c>
      <x:c r="AJ32" s="37" t="n">
        <x:f>IF($V32="无效","",IF(N32="",0,N32/$U32*100))</x:f>
        <x:v>0</x:v>
      </x:c>
      <x:c r="AK32" s="37" t="n">
        <x:f>IF($V32="无效","",IF(O32="",0,O32/$U32*100))</x:f>
        <x:v>0</x:v>
      </x:c>
      <x:c r="AL32" s="37" t="n">
        <x:f>IF(V32="有效",SUM(X32:AK32),"")</x:f>
        <x:v>99.99999999999999</x:v>
      </x:c>
    </x:row>
    <x:row r="33">
      <x:c r="A33" s="32" t="str">
        <x:v>28未风化点</x:v>
      </x:c>
      <x:c r="B33" s="33" t="n">
        <x:v>68.08</x:v>
      </x:c>
      <x:c r="C33" s="33"/>
      <x:c r="D33" s="33" t="n">
        <x:v>0.26</x:v>
      </x:c>
      <x:c r="E33" s="33" t="n">
        <x:v>1.34</x:v>
      </x:c>
      <x:c r="F33" s="33" t="n">
        <x:v>1</x:v>
      </x:c>
      <x:c r="G33" s="33" t="n">
        <x:v>4.7</x:v>
      </x:c>
      <x:c r="H33" s="33" t="n">
        <x:v>0.41</x:v>
      </x:c>
      <x:c r="I33" s="33" t="n">
        <x:v>0.33</x:v>
      </x:c>
      <x:c r="J33" s="33" t="n">
        <x:v>17.14</x:v>
      </x:c>
      <x:c r="K33" s="33" t="n">
        <x:v>4.04</x:v>
      </x:c>
      <x:c r="L33" s="33" t="n">
        <x:v>1.04</x:v>
      </x:c>
      <x:c r="M33" s="33" t="n">
        <x:v>0.12</x:v>
      </x:c>
      <x:c r="N33" s="33" t="n">
        <x:v>0.23</x:v>
      </x:c>
      <x:c r="O33" s="33"/>
      <x:c r="P33" s="38" t="str">
        <x:v>28</x:v>
      </x:c>
      <x:c r="Q33" s="24" t="str">
        <x:f>IF(ISNUMBER(SEARCH("未风化点",A33)),"未风化点",IF(ISNUMBER(SEARCH("严重风化点",A33)),"严重风化点",IF(ISNUMBER(SEARCH("部位",A33)),"不同部位","普通采样点")))</x:f>
        <x:v>未风化点</x:v>
      </x:c>
      <x:c r="R33" s="24" t="str">
        <x:f>VLOOKUP(P33,'表单1_清洗'!$A$2:$E$59,3,FALSE)</x:f>
        <x:v>铅钡</x:v>
      </x:c>
      <x:c r="S33" s="24" t="str">
        <x:f>VLOOKUP(P33,'表单1_清洗'!$A$2:$E$59,5,FALSE)</x:f>
        <x:v>风化</x:v>
      </x:c>
      <x:c r="T33" s="24" t="str">
        <x:f>IF(ISNUMBER(SEARCH("未风化点",A33)),"无风化",IF(ISNUMBER(SEARCH("严重风化点",A33)),"风化",S33))</x:f>
        <x:v>无风化</x:v>
      </x:c>
      <x:c r="U33" s="36" t="n">
        <x:f>SUM(B33:O33)</x:f>
        <x:v>98.69000000000003</x:v>
      </x:c>
      <x:c r="V33" s="24" t="str">
        <x:f>IF(AND(U33&gt;=85,U33&lt;=105),"有效","无效")</x:f>
        <x:v>有效</x:v>
      </x:c>
      <x:c r="W33" s="24" t="n">
        <x:f>COUNTBLANK(B33:O33)+COUNTIF(B33:O33,0)</x:f>
        <x:v>2</x:v>
      </x:c>
      <x:c r="X33" s="37" t="n">
        <x:f>IF($V33="无效","",IF(B33="",0,B33/$U33*100))</x:f>
        <x:v>68.98368629040428</x:v>
      </x:c>
      <x:c r="Y33" s="37" t="n">
        <x:f>IF($V33="无效","",IF(C33="",0,C33/$U33*100))</x:f>
        <x:v>0</x:v>
      </x:c>
      <x:c r="Z33" s="37" t="n">
        <x:f>IF($V33="无效","",IF(D33="",0,D33/$U33*100))</x:f>
        <x:v>0.26345121086229606</x:v>
      </x:c>
      <x:c r="AA33" s="37" t="n">
        <x:f>IF($V33="无效","",IF(E33="",0,E33/$U33*100))</x:f>
        <x:v>1.3577870098287566</x:v>
      </x:c>
      <x:c r="AB33" s="37" t="n">
        <x:f>IF($V33="无效","",IF(F33="",0,F33/$U33*100))</x:f>
        <x:v>1.0132738879319079</x:v>
      </x:c>
      <x:c r="AC33" s="37" t="n">
        <x:f>IF($V33="无效","",IF(G33="",0,G33/$U33*100))</x:f>
        <x:v>4.762387273279966</x:v>
      </x:c>
      <x:c r="AD33" s="37" t="n">
        <x:f>IF($V33="无效","",IF(H33="",0,H33/$U33*100))</x:f>
        <x:v>0.41544229405208216</x:v>
      </x:c>
      <x:c r="AE33" s="37" t="n">
        <x:f>IF($V33="无效","",IF(I33="",0,I33/$U33*100))</x:f>
        <x:v>0.33438038301752954</x:v>
      </x:c>
      <x:c r="AF33" s="37" t="n">
        <x:f>IF($V33="无效","",IF(J33="",0,J33/$U33*100))</x:f>
        <x:v>17.3675144391529</x:v>
      </x:c>
      <x:c r="AG33" s="37" t="n">
        <x:f>IF($V33="无效","",IF(K33="",0,K33/$U33*100))</x:f>
        <x:v>4.093626507244908</x:v>
      </x:c>
      <x:c r="AH33" s="37" t="n">
        <x:f>IF($V33="无效","",IF(L33="",0,L33/$U33*100))</x:f>
        <x:v>1.0538048434491842</x:v>
      </x:c>
      <x:c r="AI33" s="37" t="n">
        <x:f>IF($V33="无效","",IF(M33="",0,M33/$U33*100))</x:f>
        <x:v>0.12159286655182891</x:v>
      </x:c>
      <x:c r="AJ33" s="37" t="n">
        <x:f>IF($V33="无效","",IF(N33="",0,N33/$U33*100))</x:f>
        <x:v>0.23305299422433878</x:v>
      </x:c>
      <x:c r="AK33" s="37" t="n">
        <x:f>IF($V33="无效","",IF(O33="",0,O33/$U33*100))</x:f>
        <x:v>0</x:v>
      </x:c>
      <x:c r="AL33" s="37" t="n">
        <x:f>IF(V33="有效",SUM(X33:AK33),"")</x:f>
        <x:v>99.99999999999997</x:v>
      </x:c>
    </x:row>
    <x:row r="34">
      <x:c r="A34" s="32" t="str">
        <x:v>29未风化点</x:v>
      </x:c>
      <x:c r="B34" s="33" t="n">
        <x:v>63.3</x:v>
      </x:c>
      <x:c r="C34" s="33" t="n">
        <x:v>0.92</x:v>
      </x:c>
      <x:c r="D34" s="33" t="n">
        <x:v>0.3</x:v>
      </x:c>
      <x:c r="E34" s="33" t="n">
        <x:v>2.98</x:v>
      </x:c>
      <x:c r="F34" s="33" t="n">
        <x:v>1.49</x:v>
      </x:c>
      <x:c r="G34" s="33" t="n">
        <x:v>14.34</x:v>
      </x:c>
      <x:c r="H34" s="33" t="n">
        <x:v>0.81</x:v>
      </x:c>
      <x:c r="I34" s="33" t="n">
        <x:v>0.74</x:v>
      </x:c>
      <x:c r="J34" s="33" t="n">
        <x:v>12.31</x:v>
      </x:c>
      <x:c r="K34" s="33" t="n">
        <x:v>2.03</x:v>
      </x:c>
      <x:c r="L34" s="33" t="n">
        <x:v>0.41</x:v>
      </x:c>
      <x:c r="M34" s="33" t="n">
        <x:v>0.25</x:v>
      </x:c>
      <x:c r="N34" s="33"/>
      <x:c r="O34" s="33"/>
      <x:c r="P34" s="38" t="str">
        <x:v>29</x:v>
      </x:c>
      <x:c r="Q34" s="24" t="str">
        <x:f>IF(ISNUMBER(SEARCH("未风化点",A34)),"未风化点",IF(ISNUMBER(SEARCH("严重风化点",A34)),"严重风化点",IF(ISNUMBER(SEARCH("部位",A34)),"不同部位","普通采样点")))</x:f>
        <x:v>未风化点</x:v>
      </x:c>
      <x:c r="R34" s="24" t="str">
        <x:f>VLOOKUP(P34,'表单1_清洗'!$A$2:$E$59,3,FALSE)</x:f>
        <x:v>铅钡</x:v>
      </x:c>
      <x:c r="S34" s="24" t="str">
        <x:f>VLOOKUP(P34,'表单1_清洗'!$A$2:$E$59,5,FALSE)</x:f>
        <x:v>风化</x:v>
      </x:c>
      <x:c r="T34" s="24" t="str">
        <x:f>IF(ISNUMBER(SEARCH("未风化点",A34)),"无风化",IF(ISNUMBER(SEARCH("严重风化点",A34)),"风化",S34))</x:f>
        <x:v>无风化</x:v>
      </x:c>
      <x:c r="U34" s="36" t="n">
        <x:f>SUM(B34:O34)</x:f>
        <x:v>99.88</x:v>
      </x:c>
      <x:c r="V34" s="24" t="str">
        <x:f>IF(AND(U34&gt;=85,U34&lt;=105),"有效","无效")</x:f>
        <x:v>有效</x:v>
      </x:c>
      <x:c r="W34" s="24" t="n">
        <x:f>COUNTBLANK(B34:O34)+COUNTIF(B34:O34,0)</x:f>
        <x:v>2</x:v>
      </x:c>
      <x:c r="X34" s="37" t="n">
        <x:f>IF($V34="无效","",IF(B34="",0,B34/$U34*100))</x:f>
        <x:v>63.37605126151382</x:v>
      </x:c>
      <x:c r="Y34" s="37" t="n">
        <x:f>IF($V34="无效","",IF(C34="",0,C34/$U34*100))</x:f>
        <x:v>0.9211053263916701</x:v>
      </x:c>
      <x:c r="Z34" s="37" t="n">
        <x:f>IF($V34="无效","",IF(D34="",0,D34/$U34*100))</x:f>
        <x:v>0.30036043251902284</x:v>
      </x:c>
      <x:c r="AA34" s="37" t="n">
        <x:f>IF($V34="无效","",IF(E34="",0,E34/$U34*100))</x:f>
        <x:v>2.9835802963556266</x:v>
      </x:c>
      <x:c r="AB34" s="37" t="n">
        <x:f>IF($V34="无效","",IF(F34="",0,F34/$U34*100))</x:f>
        <x:v>1.4917901481778133</x:v>
      </x:c>
      <x:c r="AC34" s="37" t="n">
        <x:f>IF($V34="无效","",IF(G34="",0,G34/$U34*100))</x:f>
        <x:v>14.357228674409292</x:v>
      </x:c>
      <x:c r="AD34" s="37" t="n">
        <x:f>IF($V34="无效","",IF(H34="",0,H34/$U34*100))</x:f>
        <x:v>0.8109731678013617</x:v>
      </x:c>
      <x:c r="AE34" s="37" t="n">
        <x:f>IF($V34="无效","",IF(I34="",0,I34/$U34*100))</x:f>
        <x:v>0.7408890668802564</x:v>
      </x:c>
      <x:c r="AF34" s="37" t="n">
        <x:f>IF($V34="无效","",IF(J34="",0,J34/$U34*100))</x:f>
        <x:v>12.324789747697237</x:v>
      </x:c>
      <x:c r="AG34" s="37" t="n">
        <x:f>IF($V34="无效","",IF(K34="",0,K34/$U34*100))</x:f>
        <x:v>2.032438926712054</x:v>
      </x:c>
      <x:c r="AH34" s="37" t="n">
        <x:f>IF($V34="无效","",IF(L34="",0,L34/$U34*100))</x:f>
        <x:v>0.4104925911093312</x:v>
      </x:c>
      <x:c r="AI34" s="37" t="n">
        <x:f>IF($V34="无效","",IF(M34="",0,M34/$U34*100))</x:f>
        <x:v>0.250300360432519</x:v>
      </x:c>
      <x:c r="AJ34" s="37" t="n">
        <x:f>IF($V34="无效","",IF(N34="",0,N34/$U34*100))</x:f>
        <x:v>0</x:v>
      </x:c>
      <x:c r="AK34" s="37" t="n">
        <x:f>IF($V34="无效","",IF(O34="",0,O34/$U34*100))</x:f>
        <x:v>0</x:v>
      </x:c>
      <x:c r="AL34" s="37" t="n">
        <x:f>IF(V34="有效",SUM(X34:AK34),"")</x:f>
        <x:v>100.00000000000001</x:v>
      </x:c>
    </x:row>
    <x:row r="35">
      <x:c r="A35" s="32" t="str">
        <x:v>30部位1</x:v>
      </x:c>
      <x:c r="B35" s="33" t="n">
        <x:v>34.34</x:v>
      </x:c>
      <x:c r="C35" s="33"/>
      <x:c r="D35" s="33" t="n">
        <x:v>1.41</x:v>
      </x:c>
      <x:c r="E35" s="33" t="n">
        <x:v>4.49</x:v>
      </x:c>
      <x:c r="F35" s="33" t="n">
        <x:v>0.98</x:v>
      </x:c>
      <x:c r="G35" s="33" t="n">
        <x:v>4.35</x:v>
      </x:c>
      <x:c r="H35" s="33" t="n">
        <x:v>2.12</x:v>
      </x:c>
      <x:c r="I35" s="33"/>
      <x:c r="J35" s="33" t="n">
        <x:v>39.22</x:v>
      </x:c>
      <x:c r="K35" s="33" t="n">
        <x:v>10.29</x:v>
      </x:c>
      <x:c r="L35" s="33"/>
      <x:c r="M35" s="33" t="n">
        <x:v>0.35</x:v>
      </x:c>
      <x:c r="N35" s="33" t="n">
        <x:v>0.4</x:v>
      </x:c>
      <x:c r="O35" s="33"/>
      <x:c r="P35" s="38" t="str">
        <x:v>30</x:v>
      </x:c>
      <x:c r="Q35" s="24" t="str">
        <x:f>IF(ISNUMBER(SEARCH("未风化点",A35)),"未风化点",IF(ISNUMBER(SEARCH("严重风化点",A35)),"严重风化点",IF(ISNUMBER(SEARCH("部位",A35)),"不同部位","普通采样点")))</x:f>
        <x:v>不同部位</x:v>
      </x:c>
      <x:c r="R35" s="24" t="str">
        <x:f>VLOOKUP(P35,'表单1_清洗'!$A$2:$E$59,3,FALSE)</x:f>
        <x:v>铅钡</x:v>
      </x:c>
      <x:c r="S35" s="24" t="str">
        <x:f>VLOOKUP(P35,'表单1_清洗'!$A$2:$E$59,5,FALSE)</x:f>
        <x:v>无风化</x:v>
      </x:c>
      <x:c r="T35" s="24" t="str">
        <x:f>IF(ISNUMBER(SEARCH("未风化点",A35)),"无风化",IF(ISNUMBER(SEARCH("严重风化点",A35)),"风化",S35))</x:f>
        <x:v>无风化</x:v>
      </x:c>
      <x:c r="U35" s="36" t="n">
        <x:f>SUM(B35:O35)</x:f>
        <x:v>97.94999999999999</x:v>
      </x:c>
      <x:c r="V35" s="24" t="str">
        <x:f>IF(AND(U35&gt;=85,U35&lt;=105),"有效","无效")</x:f>
        <x:v>有效</x:v>
      </x:c>
      <x:c r="W35" s="24" t="n">
        <x:f>COUNTBLANK(B35:O35)+COUNTIF(B35:O35,0)</x:f>
        <x:v>4</x:v>
      </x:c>
      <x:c r="X35" s="37" t="n">
        <x:f>IF($V35="无效","",IF(B35="",0,B35/$U35*100))</x:f>
        <x:v>35.05870342011231</x:v>
      </x:c>
      <x:c r="Y35" s="37" t="n">
        <x:f>IF($V35="无效","",IF(C35="",0,C35/$U35*100))</x:f>
        <x:v>0</x:v>
      </x:c>
      <x:c r="Z35" s="37" t="n">
        <x:f>IF($V35="无效","",IF(D35="",0,D35/$U35*100))</x:f>
        <x:v>1.439509954058193</x:v>
      </x:c>
      <x:c r="AA35" s="37" t="n">
        <x:f>IF($V35="无效","",IF(E35="",0,E35/$U35*100))</x:f>
        <x:v>4.5839714139867285</x:v>
      </x:c>
      <x:c r="AB35" s="37" t="n">
        <x:f>IF($V35="无效","",IF(F35="",0,F35/$U35*100))</x:f>
        <x:v>1.0005104645227156</x:v>
      </x:c>
      <x:c r="AC35" s="37" t="n">
        <x:f>IF($V35="无效","",IF(G35="",0,G35/$U35*100))</x:f>
        <x:v>4.44104134762634</x:v>
      </x:c>
      <x:c r="AD35" s="37" t="n">
        <x:f>IF($V35="无效","",IF(H35="",0,H35/$U35*100))</x:f>
        <x:v>2.1643695763144466</x:v>
      </x:c>
      <x:c r="AE35" s="37" t="n">
        <x:f>IF($V35="无效","",IF(I35="",0,I35/$U35*100))</x:f>
        <x:v>0</x:v>
      </x:c>
      <x:c r="AF35" s="37" t="n">
        <x:f>IF($V35="无效","",IF(J35="",0,J35/$U35*100))</x:f>
        <x:v>40.04083716181726</x:v>
      </x:c>
      <x:c r="AG35" s="37" t="n">
        <x:f>IF($V35="无效","",IF(K35="",0,K35/$U35*100))</x:f>
        <x:v>10.505359877488516</x:v>
      </x:c>
      <x:c r="AH35" s="37" t="n">
        <x:f>IF($V35="无效","",IF(L35="",0,L35/$U35*100))</x:f>
        <x:v>0</x:v>
      </x:c>
      <x:c r="AI35" s="37" t="n">
        <x:f>IF($V35="无效","",IF(M35="",0,M35/$U35*100))</x:f>
        <x:v>0.3573251659009699</x:v>
      </x:c>
      <x:c r="AJ35" s="37" t="n">
        <x:f>IF($V35="无效","",IF(N35="",0,N35/$U35*100))</x:f>
        <x:v>0.4083716181725371</x:v>
      </x:c>
      <x:c r="AK35" s="37" t="n">
        <x:f>IF($V35="无效","",IF(O35="",0,O35/$U35*100))</x:f>
        <x:v>0</x:v>
      </x:c>
      <x:c r="AL35" s="37" t="n">
        <x:f>IF(V35="有效",SUM(X35:AK35),"")</x:f>
        <x:v>100.00000000000003</x:v>
      </x:c>
    </x:row>
    <x:row r="36">
      <x:c r="A36" s="32" t="str">
        <x:v>30部位2</x:v>
      </x:c>
      <x:c r="B36" s="33" t="n">
        <x:v>36.93</x:v>
      </x:c>
      <x:c r="C36" s="33"/>
      <x:c r="D36" s="33"/>
      <x:c r="E36" s="33" t="n">
        <x:v>4.24</x:v>
      </x:c>
      <x:c r="F36" s="33" t="n">
        <x:v>0.51</x:v>
      </x:c>
      <x:c r="G36" s="33" t="n">
        <x:v>3.86</x:v>
      </x:c>
      <x:c r="H36" s="33" t="n">
        <x:v>2.74</x:v>
      </x:c>
      <x:c r="I36" s="33"/>
      <x:c r="J36" s="33" t="n">
        <x:v>37.74</x:v>
      </x:c>
      <x:c r="K36" s="33" t="n">
        <x:v>10.35</x:v>
      </x:c>
      <x:c r="L36" s="33" t="n">
        <x:v>1.41</x:v>
      </x:c>
      <x:c r="M36" s="33" t="n">
        <x:v>0.48</x:v>
      </x:c>
      <x:c r="N36" s="33" t="n">
        <x:v>0.44</x:v>
      </x:c>
      <x:c r="O36" s="33"/>
      <x:c r="P36" s="38" t="str">
        <x:v>30</x:v>
      </x:c>
      <x:c r="Q36" s="24" t="str">
        <x:f>IF(ISNUMBER(SEARCH("未风化点",A36)),"未风化点",IF(ISNUMBER(SEARCH("严重风化点",A36)),"严重风化点",IF(ISNUMBER(SEARCH("部位",A36)),"不同部位","普通采样点")))</x:f>
        <x:v>不同部位</x:v>
      </x:c>
      <x:c r="R36" s="24" t="str">
        <x:f>VLOOKUP(P36,'表单1_清洗'!$A$2:$E$59,3,FALSE)</x:f>
        <x:v>铅钡</x:v>
      </x:c>
      <x:c r="S36" s="24" t="str">
        <x:f>VLOOKUP(P36,'表单1_清洗'!$A$2:$E$59,5,FALSE)</x:f>
        <x:v>无风化</x:v>
      </x:c>
      <x:c r="T36" s="24" t="str">
        <x:f>IF(ISNUMBER(SEARCH("未风化点",A36)),"无风化",IF(ISNUMBER(SEARCH("严重风化点",A36)),"风化",S36))</x:f>
        <x:v>无风化</x:v>
      </x:c>
      <x:c r="U36" s="36" t="n">
        <x:f>SUM(B36:O36)</x:f>
        <x:v>98.7</x:v>
      </x:c>
      <x:c r="V36" s="24" t="str">
        <x:f>IF(AND(U36&gt;=85,U36&lt;=105),"有效","无效")</x:f>
        <x:v>有效</x:v>
      </x:c>
      <x:c r="W36" s="24" t="n">
        <x:f>COUNTBLANK(B36:O36)+COUNTIF(B36:O36,0)</x:f>
        <x:v>4</x:v>
      </x:c>
      <x:c r="X36" s="37" t="n">
        <x:f>IF($V36="无效","",IF(B36="",0,B36/$U36*100))</x:f>
        <x:v>37.41641337386018</x:v>
      </x:c>
      <x:c r="Y36" s="37" t="n">
        <x:f>IF($V36="无效","",IF(C36="",0,C36/$U36*100))</x:f>
        <x:v>0</x:v>
      </x:c>
      <x:c r="Z36" s="37" t="n">
        <x:f>IF($V36="无效","",IF(D36="",0,D36/$U36*100))</x:f>
        <x:v>0</x:v>
      </x:c>
      <x:c r="AA36" s="37" t="n">
        <x:f>IF($V36="无效","",IF(E36="",0,E36/$U36*100))</x:f>
        <x:v>4.295845997973657</x:v>
      </x:c>
      <x:c r="AB36" s="37" t="n">
        <x:f>IF($V36="无效","",IF(F36="",0,F36/$U36*100))</x:f>
        <x:v>0.5167173252279635</x:v>
      </x:c>
      <x:c r="AC36" s="37" t="n">
        <x:f>IF($V36="无效","",IF(G36="",0,G36/$U36*100))</x:f>
        <x:v>3.910840932117528</x:v>
      </x:c>
      <x:c r="AD36" s="37" t="n">
        <x:f>IF($V36="无效","",IF(H36="",0,H36/$U36*100))</x:f>
        <x:v>2.7760891590678827</x:v>
      </x:c>
      <x:c r="AE36" s="37" t="n">
        <x:f>IF($V36="无效","",IF(I36="",0,I36/$U36*100))</x:f>
        <x:v>0</x:v>
      </x:c>
      <x:c r="AF36" s="37" t="n">
        <x:f>IF($V36="无效","",IF(J36="",0,J36/$U36*100))</x:f>
        <x:v>38.237082066869306</x:v>
      </x:c>
      <x:c r="AG36" s="37" t="n">
        <x:f>IF($V36="无效","",IF(K36="",0,K36/$U36*100))</x:f>
        <x:v>10.486322188449847</x:v>
      </x:c>
      <x:c r="AH36" s="37" t="n">
        <x:f>IF($V36="无效","",IF(L36="",0,L36/$U36*100))</x:f>
        <x:v>1.4285714285714286</x:v>
      </x:c>
      <x:c r="AI36" s="37" t="n">
        <x:f>IF($V36="无效","",IF(M36="",0,M36/$U36*100))</x:f>
        <x:v>0.486322188449848</x:v>
      </x:c>
      <x:c r="AJ36" s="37" t="n">
        <x:f>IF($V36="无效","",IF(N36="",0,N36/$U36*100))</x:f>
        <x:v>0.44579533941236066</x:v>
      </x:c>
      <x:c r="AK36" s="37" t="n">
        <x:f>IF($V36="无效","",IF(O36="",0,O36/$U36*100))</x:f>
        <x:v>0</x:v>
      </x:c>
      <x:c r="AL36" s="37" t="n">
        <x:f>IF(V36="有效",SUM(X36:AK36),"")</x:f>
        <x:v>100</x:v>
      </x:c>
    </x:row>
    <x:row r="37">
      <x:c r="A37" s="32" t="str">
        <x:v>31</x:v>
      </x:c>
      <x:c r="B37" s="33" t="n">
        <x:v>65.91</x:v>
      </x:c>
      <x:c r="C37" s="33"/>
      <x:c r="D37" s="33"/>
      <x:c r="E37" s="33" t="n">
        <x:v>1.6</x:v>
      </x:c>
      <x:c r="F37" s="33" t="n">
        <x:v>0.89</x:v>
      </x:c>
      <x:c r="G37" s="33" t="n">
        <x:v>3.11</x:v>
      </x:c>
      <x:c r="H37" s="33" t="n">
        <x:v>4.59</x:v>
      </x:c>
      <x:c r="I37" s="33" t="n">
        <x:v>0.44</x:v>
      </x:c>
      <x:c r="J37" s="33" t="n">
        <x:v>16.55</x:v>
      </x:c>
      <x:c r="K37" s="33" t="n">
        <x:v>3.42</x:v>
      </x:c>
      <x:c r="L37" s="33" t="n">
        <x:v>1.62</x:v>
      </x:c>
      <x:c r="M37" s="33" t="n">
        <x:v>0.3</x:v>
      </x:c>
      <x:c r="N37" s="33"/>
      <x:c r="O37" s="33"/>
      <x:c r="P37" s="38" t="str">
        <x:v>31</x:v>
      </x:c>
      <x:c r="Q37" s="24" t="str">
        <x:f>IF(ISNUMBER(SEARCH("未风化点",A37)),"未风化点",IF(ISNUMBER(SEARCH("严重风化点",A37)),"严重风化点",IF(ISNUMBER(SEARCH("部位",A37)),"不同部位","普通采样点")))</x:f>
        <x:v>普通采样点</x:v>
      </x:c>
      <x:c r="R37" s="24" t="str">
        <x:f>VLOOKUP(P37,'表单1_清洗'!$A$2:$E$59,3,FALSE)</x:f>
        <x:v>铅钡</x:v>
      </x:c>
      <x:c r="S37" s="24" t="str">
        <x:f>VLOOKUP(P37,'表单1_清洗'!$A$2:$E$59,5,FALSE)</x:f>
        <x:v>无风化</x:v>
      </x:c>
      <x:c r="T37" s="24" t="str">
        <x:f>IF(ISNUMBER(SEARCH("未风化点",A37)),"无风化",IF(ISNUMBER(SEARCH("严重风化点",A37)),"风化",S37))</x:f>
        <x:v>无风化</x:v>
      </x:c>
      <x:c r="U37" s="36" t="n">
        <x:f>SUM(B37:O37)</x:f>
        <x:v>98.42999999999999</x:v>
      </x:c>
      <x:c r="V37" s="24" t="str">
        <x:f>IF(AND(U37&gt;=85,U37&lt;=105),"有效","无效")</x:f>
        <x:v>有效</x:v>
      </x:c>
      <x:c r="W37" s="24" t="n">
        <x:f>COUNTBLANK(B37:O37)+COUNTIF(B37:O37,0)</x:f>
        <x:v>4</x:v>
      </x:c>
      <x:c r="X37" s="37" t="n">
        <x:f>IF($V37="无效","",IF(B37="",0,B37/$U37*100))</x:f>
        <x:v>66.9612922889363</x:v>
      </x:c>
      <x:c r="Y37" s="37" t="n">
        <x:f>IF($V37="无效","",IF(C37="",0,C37/$U37*100))</x:f>
        <x:v>0</x:v>
      </x:c>
      <x:c r="Z37" s="37" t="n">
        <x:f>IF($V37="无效","",IF(D37="",0,D37/$U37*100))</x:f>
        <x:v>0</x:v>
      </x:c>
      <x:c r="AA37" s="37" t="n">
        <x:f>IF($V37="无效","",IF(E37="",0,E37/$U37*100))</x:f>
        <x:v>1.6255206745910804</x:v>
      </x:c>
      <x:c r="AB37" s="37" t="n">
        <x:f>IF($V37="无效","",IF(F37="",0,F37/$U37*100))</x:f>
        <x:v>0.9041958752412883</x:v>
      </x:c>
      <x:c r="AC37" s="37" t="n">
        <x:f>IF($V37="无效","",IF(G37="",0,G37/$U37*100))</x:f>
        <x:v>3.1596058112364114</x:v>
      </x:c>
      <x:c r="AD37" s="37" t="n">
        <x:f>IF($V37="无效","",IF(H37="",0,H37/$U37*100))</x:f>
        <x:v>4.66321243523316</x:v>
      </x:c>
      <x:c r="AE37" s="37" t="n">
        <x:f>IF($V37="无效","",IF(I37="",0,I37/$U37*100))</x:f>
        <x:v>0.4470181855125471</x:v>
      </x:c>
      <x:c r="AF37" s="37" t="n">
        <x:f>IF($V37="无效","",IF(J37="",0,J37/$U37*100))</x:f>
        <x:v>16.813979477801485</x:v>
      </x:c>
      <x:c r="AG37" s="37" t="n">
        <x:f>IF($V37="无效","",IF(K37="",0,K37/$U37*100))</x:f>
        <x:v>3.4745504419384337</x:v>
      </x:c>
      <x:c r="AH37" s="37" t="n">
        <x:f>IF($V37="无效","",IF(L37="",0,L37/$U37*100))</x:f>
        <x:v>1.6458396830234687</x:v>
      </x:c>
      <x:c r="AI37" s="37" t="n">
        <x:f>IF($V37="无效","",IF(M37="",0,M37/$U37*100))</x:f>
        <x:v>0.3047851264858275</x:v>
      </x:c>
      <x:c r="AJ37" s="37" t="n">
        <x:f>IF($V37="无效","",IF(N37="",0,N37/$U37*100))</x:f>
        <x:v>0</x:v>
      </x:c>
      <x:c r="AK37" s="37" t="n">
        <x:f>IF($V37="无效","",IF(O37="",0,O37/$U37*100))</x:f>
        <x:v>0</x:v>
      </x:c>
      <x:c r="AL37" s="37" t="n">
        <x:f>IF(V37="有效",SUM(X37:AK37),"")</x:f>
        <x:v>100.00000000000001</x:v>
      </x:c>
    </x:row>
    <x:row r="38">
      <x:c r="A38" s="32" t="str">
        <x:v>32</x:v>
      </x:c>
      <x:c r="B38" s="33" t="n">
        <x:v>69.71</x:v>
      </x:c>
      <x:c r="C38" s="33"/>
      <x:c r="D38" s="33" t="n">
        <x:v>0.21</x:v>
      </x:c>
      <x:c r="E38" s="33" t="n">
        <x:v>0.46</x:v>
      </x:c>
      <x:c r="F38" s="33"/>
      <x:c r="G38" s="33" t="n">
        <x:v>2.36</x:v>
      </x:c>
      <x:c r="H38" s="33" t="n">
        <x:v>1</x:v>
      </x:c>
      <x:c r="I38" s="33" t="n">
        <x:v>0.11</x:v>
      </x:c>
      <x:c r="J38" s="33" t="n">
        <x:v>19.76</x:v>
      </x:c>
      <x:c r="K38" s="33" t="n">
        <x:v>4.88</x:v>
      </x:c>
      <x:c r="L38" s="33" t="n">
        <x:v>0.17</x:v>
      </x:c>
      <x:c r="M38" s="33"/>
      <x:c r="N38" s="33"/>
      <x:c r="O38" s="33"/>
      <x:c r="P38" s="38" t="str">
        <x:v>32</x:v>
      </x:c>
      <x:c r="Q38" s="24" t="str">
        <x:f>IF(ISNUMBER(SEARCH("未风化点",A38)),"未风化点",IF(ISNUMBER(SEARCH("严重风化点",A38)),"严重风化点",IF(ISNUMBER(SEARCH("部位",A38)),"不同部位","普通采样点")))</x:f>
        <x:v>普通采样点</x:v>
      </x:c>
      <x:c r="R38" s="24" t="str">
        <x:f>VLOOKUP(P38,'表单1_清洗'!$A$2:$E$59,3,FALSE)</x:f>
        <x:v>铅钡</x:v>
      </x:c>
      <x:c r="S38" s="24" t="str">
        <x:f>VLOOKUP(P38,'表单1_清洗'!$A$2:$E$59,5,FALSE)</x:f>
        <x:v>无风化</x:v>
      </x:c>
      <x:c r="T38" s="24" t="str">
        <x:f>IF(ISNUMBER(SEARCH("未风化点",A38)),"无风化",IF(ISNUMBER(SEARCH("严重风化点",A38)),"风化",S38))</x:f>
        <x:v>无风化</x:v>
      </x:c>
      <x:c r="U38" s="36" t="n">
        <x:f>SUM(B38:O38)</x:f>
        <x:v>98.65999999999998</x:v>
      </x:c>
      <x:c r="V38" s="24" t="str">
        <x:f>IF(AND(U38&gt;=85,U38&lt;=105),"有效","无效")</x:f>
        <x:v>有效</x:v>
      </x:c>
      <x:c r="W38" s="24" t="n">
        <x:f>COUNTBLANK(B38:O38)+COUNTIF(B38:O38,0)</x:f>
        <x:v>5</x:v>
      </x:c>
      <x:c r="X38" s="37" t="n">
        <x:f>IF($V38="无效","",IF(B38="",0,B38/$U38*100))</x:f>
        <x:v>70.65680113521185</x:v>
      </x:c>
      <x:c r="Y38" s="37" t="n">
        <x:f>IF($V38="无效","",IF(C38="",0,C38/$U38*100))</x:f>
        <x:v>0</x:v>
      </x:c>
      <x:c r="Z38" s="37" t="n">
        <x:f>IF($V38="无效","",IF(D38="",0,D38/$U38*100))</x:f>
        <x:v>0.21285221974457735</x:v>
      </x:c>
      <x:c r="AA38" s="37" t="n">
        <x:f>IF($V38="无效","",IF(E38="",0,E38/$U38*100))</x:f>
        <x:v>0.46624771944050286</x:v>
      </x:c>
      <x:c r="AB38" s="37" t="n">
        <x:f>IF($V38="无效","",IF(F38="",0,F38/$U38*100))</x:f>
        <x:v>0</x:v>
      </x:c>
      <x:c r="AC38" s="37" t="n">
        <x:f>IF($V38="无效","",IF(G38="",0,G38/$U38*100))</x:f>
        <x:v>2.392053517129536</x:v>
      </x:c>
      <x:c r="AD38" s="37" t="n">
        <x:f>IF($V38="无效","",IF(H38="",0,H38/$U38*100))</x:f>
        <x:v>1.0135819987837018</x:v>
      </x:c>
      <x:c r="AE38" s="37" t="n">
        <x:f>IF($V38="无效","",IF(I38="",0,I38/$U38*100))</x:f>
        <x:v>0.1114940198662072</x:v>
      </x:c>
      <x:c r="AF38" s="37" t="n">
        <x:f>IF($V38="无效","",IF(J38="",0,J38/$U38*100))</x:f>
        <x:v>20.02838029596595</x:v>
      </x:c>
      <x:c r="AG38" s="37" t="n">
        <x:f>IF($V38="无效","",IF(K38="",0,K38/$U38*100))</x:f>
        <x:v>4.946280154064465</x:v>
      </x:c>
      <x:c r="AH38" s="37" t="n">
        <x:f>IF($V38="无效","",IF(L38="",0,L38/$U38*100))</x:f>
        <x:v>0.1723089397932293</x:v>
      </x:c>
      <x:c r="AI38" s="37" t="n">
        <x:f>IF($V38="无效","",IF(M38="",0,M38/$U38*100))</x:f>
        <x:v>0</x:v>
      </x:c>
      <x:c r="AJ38" s="37" t="n">
        <x:f>IF($V38="无效","",IF(N38="",0,N38/$U38*100))</x:f>
        <x:v>0</x:v>
      </x:c>
      <x:c r="AK38" s="37" t="n">
        <x:f>IF($V38="无效","",IF(O38="",0,O38/$U38*100))</x:f>
        <x:v>0</x:v>
      </x:c>
      <x:c r="AL38" s="37" t="n">
        <x:f>IF(V38="有效",SUM(X38:AK38),"")</x:f>
        <x:v>100.00000000000003</x:v>
      </x:c>
    </x:row>
    <x:row r="39">
      <x:c r="A39" s="32" t="str">
        <x:v>33</x:v>
      </x:c>
      <x:c r="B39" s="33" t="n">
        <x:v>75.51</x:v>
      </x:c>
      <x:c r="C39" s="33"/>
      <x:c r="D39" s="33" t="n">
        <x:v>0.15</x:v>
      </x:c>
      <x:c r="E39" s="33" t="n">
        <x:v>0.64</x:v>
      </x:c>
      <x:c r="F39" s="33" t="n">
        <x:v>1</x:v>
      </x:c>
      <x:c r="G39" s="33" t="n">
        <x:v>2.35</x:v>
      </x:c>
      <x:c r="H39" s="33"/>
      <x:c r="I39" s="33" t="n">
        <x:v>0.47</x:v>
      </x:c>
      <x:c r="J39" s="33" t="n">
        <x:v>16.16</x:v>
      </x:c>
      <x:c r="K39" s="33" t="n">
        <x:v>3.55</x:v>
      </x:c>
      <x:c r="L39" s="33" t="n">
        <x:v>0.13</x:v>
      </x:c>
      <x:c r="M39" s="33"/>
      <x:c r="N39" s="33"/>
      <x:c r="O39" s="33"/>
      <x:c r="P39" s="38" t="str">
        <x:v>33</x:v>
      </x:c>
      <x:c r="Q39" s="24" t="str">
        <x:f>IF(ISNUMBER(SEARCH("未风化点",A39)),"未风化点",IF(ISNUMBER(SEARCH("严重风化点",A39)),"严重风化点",IF(ISNUMBER(SEARCH("部位",A39)),"不同部位","普通采样点")))</x:f>
        <x:v>普通采样点</x:v>
      </x:c>
      <x:c r="R39" s="24" t="str">
        <x:f>VLOOKUP(P39,'表单1_清洗'!$A$2:$E$59,3,FALSE)</x:f>
        <x:v>铅钡</x:v>
      </x:c>
      <x:c r="S39" s="24" t="str">
        <x:f>VLOOKUP(P39,'表单1_清洗'!$A$2:$E$59,5,FALSE)</x:f>
        <x:v>无风化</x:v>
      </x:c>
      <x:c r="T39" s="24" t="str">
        <x:f>IF(ISNUMBER(SEARCH("未风化点",A39)),"无风化",IF(ISNUMBER(SEARCH("严重风化点",A39)),"风化",S39))</x:f>
        <x:v>无风化</x:v>
      </x:c>
      <x:c r="U39" s="36" t="n">
        <x:f>SUM(B39:O39)</x:f>
        <x:v>99.96</x:v>
      </x:c>
      <x:c r="V39" s="24" t="str">
        <x:f>IF(AND(U39&gt;=85,U39&lt;=105),"有效","无效")</x:f>
        <x:v>有效</x:v>
      </x:c>
      <x:c r="W39" s="24" t="n">
        <x:f>COUNTBLANK(B39:O39)+COUNTIF(B39:O39,0)</x:f>
        <x:v>5</x:v>
      </x:c>
      <x:c r="X39" s="37" t="n">
        <x:f>IF($V39="无效","",IF(B39="",0,B39/$U39*100))</x:f>
        <x:v>75.54021608643458</x:v>
      </x:c>
      <x:c r="Y39" s="37" t="n">
        <x:f>IF($V39="无效","",IF(C39="",0,C39/$U39*100))</x:f>
        <x:v>0</x:v>
      </x:c>
      <x:c r="Z39" s="37" t="n">
        <x:f>IF($V39="无效","",IF(D39="",0,D39/$U39*100))</x:f>
        <x:v>0.15006002400960386</x:v>
      </x:c>
      <x:c r="AA39" s="37" t="n">
        <x:f>IF($V39="无效","",IF(E39="",0,E39/$U39*100))</x:f>
        <x:v>0.6402561024409764</x:v>
      </x:c>
      <x:c r="AB39" s="37" t="n">
        <x:f>IF($V39="无效","",IF(F39="",0,F39/$U39*100))</x:f>
        <x:v>1.0004001600640255</x:v>
      </x:c>
      <x:c r="AC39" s="37" t="n">
        <x:f>IF($V39="无效","",IF(G39="",0,G39/$U39*100))</x:f>
        <x:v>2.3509403761504606</x:v>
      </x:c>
      <x:c r="AD39" s="37" t="n">
        <x:f>IF($V39="无效","",IF(H39="",0,H39/$U39*100))</x:f>
        <x:v>0</x:v>
      </x:c>
      <x:c r="AE39" s="37" t="n">
        <x:f>IF($V39="无效","",IF(I39="",0,I39/$U39*100))</x:f>
        <x:v>0.47018807523009204</x:v>
      </x:c>
      <x:c r="AF39" s="37" t="n">
        <x:f>IF($V39="无效","",IF(J39="",0,J39/$U39*100))</x:f>
        <x:v>16.166466586634655</x:v>
      </x:c>
      <x:c r="AG39" s="37" t="n">
        <x:f>IF($V39="无效","",IF(K39="",0,K39/$U39*100))</x:f>
        <x:v>3.5514205682272912</x:v>
      </x:c>
      <x:c r="AH39" s="37" t="n">
        <x:f>IF($V39="无效","",IF(L39="",0,L39/$U39*100))</x:f>
        <x:v>0.13005202080832334</x:v>
      </x:c>
      <x:c r="AI39" s="37" t="n">
        <x:f>IF($V39="无效","",IF(M39="",0,M39/$U39*100))</x:f>
        <x:v>0</x:v>
      </x:c>
      <x:c r="AJ39" s="37" t="n">
        <x:f>IF($V39="无效","",IF(N39="",0,N39/$U39*100))</x:f>
        <x:v>0</x:v>
      </x:c>
      <x:c r="AK39" s="37" t="n">
        <x:f>IF($V39="无效","",IF(O39="",0,O39/$U39*100))</x:f>
        <x:v>0</x:v>
      </x:c>
      <x:c r="AL39" s="37" t="n">
        <x:f>IF(V39="有效",SUM(X39:AK39),"")</x:f>
        <x:v>100.00000000000001</x:v>
      </x:c>
    </x:row>
    <x:row r="40">
      <x:c r="A40" s="32" t="str">
        <x:v>34</x:v>
      </x:c>
      <x:c r="B40" s="33" t="n">
        <x:v>35.78</x:v>
      </x:c>
      <x:c r="C40" s="33"/>
      <x:c r="D40" s="33" t="n">
        <x:v>0.25</x:v>
      </x:c>
      <x:c r="E40" s="33" t="n">
        <x:v>0.78</x:v>
      </x:c>
      <x:c r="F40" s="33"/>
      <x:c r="G40" s="33" t="n">
        <x:v>1.62</x:v>
      </x:c>
      <x:c r="H40" s="33" t="n">
        <x:v>0.47</x:v>
      </x:c>
      <x:c r="I40" s="33" t="n">
        <x:v>1.51</x:v>
      </x:c>
      <x:c r="J40" s="33" t="n">
        <x:v>46.55</x:v>
      </x:c>
      <x:c r="K40" s="33" t="n">
        <x:v>10</x:v>
      </x:c>
      <x:c r="L40" s="33" t="n">
        <x:v>0.34</x:v>
      </x:c>
      <x:c r="M40" s="33" t="n">
        <x:v>0.22</x:v>
      </x:c>
      <x:c r="N40" s="33"/>
      <x:c r="O40" s="33"/>
      <x:c r="P40" s="38" t="str">
        <x:v>34</x:v>
      </x:c>
      <x:c r="Q40" s="24" t="str">
        <x:f>IF(ISNUMBER(SEARCH("未风化点",A40)),"未风化点",IF(ISNUMBER(SEARCH("严重风化点",A40)),"严重风化点",IF(ISNUMBER(SEARCH("部位",A40)),"不同部位","普通采样点")))</x:f>
        <x:v>普通采样点</x:v>
      </x:c>
      <x:c r="R40" s="24" t="str">
        <x:f>VLOOKUP(P40,'表单1_清洗'!$A$2:$E$59,3,FALSE)</x:f>
        <x:v>铅钡</x:v>
      </x:c>
      <x:c r="S40" s="24" t="str">
        <x:f>VLOOKUP(P40,'表单1_清洗'!$A$2:$E$59,5,FALSE)</x:f>
        <x:v>风化</x:v>
      </x:c>
      <x:c r="T40" s="24" t="str">
        <x:f>IF(ISNUMBER(SEARCH("未风化点",A40)),"无风化",IF(ISNUMBER(SEARCH("严重风化点",A40)),"风化",S40))</x:f>
        <x:v>风化</x:v>
      </x:c>
      <x:c r="U40" s="36" t="n">
        <x:f>SUM(B40:O40)</x:f>
        <x:v>97.52</x:v>
      </x:c>
      <x:c r="V40" s="24" t="str">
        <x:f>IF(AND(U40&gt;=85,U40&lt;=105),"有效","无效")</x:f>
        <x:v>有效</x:v>
      </x:c>
      <x:c r="W40" s="24" t="n">
        <x:f>COUNTBLANK(B40:O40)+COUNTIF(B40:O40,0)</x:f>
        <x:v>4</x:v>
      </x:c>
      <x:c r="X40" s="37" t="n">
        <x:f>IF($V40="无效","",IF(B40="",0,B40/$U40*100))</x:f>
        <x:v>36.689909762100086</x:v>
      </x:c>
      <x:c r="Y40" s="37" t="n">
        <x:f>IF($V40="无效","",IF(C40="",0,C40/$U40*100))</x:f>
        <x:v>0</x:v>
      </x:c>
      <x:c r="Z40" s="37" t="n">
        <x:f>IF($V40="无效","",IF(D40="",0,D40/$U40*100))</x:f>
        <x:v>0.25635767022149303</x:v>
      </x:c>
      <x:c r="AA40" s="37" t="n">
        <x:f>IF($V40="无效","",IF(E40="",0,E40/$U40*100))</x:f>
        <x:v>0.7998359310910583</x:v>
      </x:c>
      <x:c r="AB40" s="37" t="n">
        <x:f>IF($V40="无效","",IF(F40="",0,F40/$U40*100))</x:f>
        <x:v>0</x:v>
      </x:c>
      <x:c r="AC40" s="37" t="n">
        <x:f>IF($V40="无效","",IF(G40="",0,G40/$U40*100))</x:f>
        <x:v>1.6611977030352751</x:v>
      </x:c>
      <x:c r="AD40" s="37" t="n">
        <x:f>IF($V40="无效","",IF(H40="",0,H40/$U40*100))</x:f>
        <x:v>0.48195242001640687</x:v>
      </x:c>
      <x:c r="AE40" s="37" t="n">
        <x:f>IF($V40="无效","",IF(I40="",0,I40/$U40*100))</x:f>
        <x:v>1.5484003281378178</x:v>
      </x:c>
      <x:c r="AF40" s="37" t="n">
        <x:f>IF($V40="无效","",IF(J40="",0,J40/$U40*100))</x:f>
        <x:v>47.733798195242</x:v>
      </x:c>
      <x:c r="AG40" s="37" t="n">
        <x:f>IF($V40="无效","",IF(K40="",0,K40/$U40*100))</x:f>
        <x:v>10.254306808859722</x:v>
      </x:c>
      <x:c r="AH40" s="37" t="n">
        <x:f>IF($V40="无效","",IF(L40="",0,L40/$U40*100))</x:f>
        <x:v>0.34864643150123054</x:v>
      </x:c>
      <x:c r="AI40" s="37" t="n">
        <x:f>IF($V40="无效","",IF(M40="",0,M40/$U40*100))</x:f>
        <x:v>0.2255947497949139</x:v>
      </x:c>
      <x:c r="AJ40" s="37" t="n">
        <x:f>IF($V40="无效","",IF(N40="",0,N40/$U40*100))</x:f>
        <x:v>0</x:v>
      </x:c>
      <x:c r="AK40" s="37" t="n">
        <x:f>IF($V40="无效","",IF(O40="",0,O40/$U40*100))</x:f>
        <x:v>0</x:v>
      </x:c>
      <x:c r="AL40" s="37" t="n">
        <x:f>IF(V40="有效",SUM(X40:AK40),"")</x:f>
        <x:v>100</x:v>
      </x:c>
    </x:row>
    <x:row r="41">
      <x:c r="A41" s="32" t="str">
        <x:v>35</x:v>
      </x:c>
      <x:c r="B41" s="33" t="n">
        <x:v>65.91</x:v>
      </x:c>
      <x:c r="C41" s="33"/>
      <x:c r="D41" s="33"/>
      <x:c r="E41" s="33" t="n">
        <x:v>0.38</x:v>
      </x:c>
      <x:c r="F41" s="33"/>
      <x:c r="G41" s="33" t="n">
        <x:v>1.44</x:v>
      </x:c>
      <x:c r="H41" s="33" t="n">
        <x:v>0.17</x:v>
      </x:c>
      <x:c r="I41" s="33" t="n">
        <x:v>0.16</x:v>
      </x:c>
      <x:c r="J41" s="33" t="n">
        <x:v>22.05</x:v>
      </x:c>
      <x:c r="K41" s="33" t="n">
        <x:v>5.68</x:v>
      </x:c>
      <x:c r="L41" s="33" t="n">
        <x:v>0.42</x:v>
      </x:c>
      <x:c r="M41" s="33"/>
      <x:c r="N41" s="33"/>
      <x:c r="O41" s="33"/>
      <x:c r="P41" s="38" t="str">
        <x:v>35</x:v>
      </x:c>
      <x:c r="Q41" s="24" t="str">
        <x:f>IF(ISNUMBER(SEARCH("未风化点",A41)),"未风化点",IF(ISNUMBER(SEARCH("严重风化点",A41)),"严重风化点",IF(ISNUMBER(SEARCH("部位",A41)),"不同部位","普通采样点")))</x:f>
        <x:v>普通采样点</x:v>
      </x:c>
      <x:c r="R41" s="24" t="str">
        <x:f>VLOOKUP(P41,'表单1_清洗'!$A$2:$E$59,3,FALSE)</x:f>
        <x:v>铅钡</x:v>
      </x:c>
      <x:c r="S41" s="24" t="str">
        <x:f>VLOOKUP(P41,'表单1_清洗'!$A$2:$E$59,5,FALSE)</x:f>
        <x:v>无风化</x:v>
      </x:c>
      <x:c r="T41" s="24" t="str">
        <x:f>IF(ISNUMBER(SEARCH("未风化点",A41)),"无风化",IF(ISNUMBER(SEARCH("严重风化点",A41)),"风化",S41))</x:f>
        <x:v>无风化</x:v>
      </x:c>
      <x:c r="U41" s="36" t="n">
        <x:f>SUM(B41:O41)</x:f>
        <x:v>96.21</x:v>
      </x:c>
      <x:c r="V41" s="24" t="str">
        <x:f>IF(AND(U41&gt;=85,U41&lt;=105),"有效","无效")</x:f>
        <x:v>有效</x:v>
      </x:c>
      <x:c r="W41" s="24" t="n">
        <x:f>COUNTBLANK(B41:O41)+COUNTIF(B41:O41,0)</x:f>
        <x:v>6</x:v>
      </x:c>
      <x:c r="X41" s="37" t="n">
        <x:f>IF($V41="无效","",IF(B41="",0,B41/$U41*100))</x:f>
        <x:v>68.50639226691612</x:v>
      </x:c>
      <x:c r="Y41" s="37" t="n">
        <x:f>IF($V41="无效","",IF(C41="",0,C41/$U41*100))</x:f>
        <x:v>0</x:v>
      </x:c>
      <x:c r="Z41" s="37" t="n">
        <x:f>IF($V41="无效","",IF(D41="",0,D41/$U41*100))</x:f>
        <x:v>0</x:v>
      </x:c>
      <x:c r="AA41" s="37" t="n">
        <x:f>IF($V41="无效","",IF(E41="",0,E41/$U41*100))</x:f>
        <x:v>0.3949693379066625</x:v>
      </x:c>
      <x:c r="AB41" s="37" t="n">
        <x:f>IF($V41="无效","",IF(F41="",0,F41/$U41*100))</x:f>
        <x:v>0</x:v>
      </x:c>
      <x:c r="AC41" s="37" t="n">
        <x:f>IF($V41="无效","",IF(G41="",0,G41/$U41*100))</x:f>
        <x:v>1.4967259120673526</x:v>
      </x:c>
      <x:c r="AD41" s="37" t="n">
        <x:f>IF($V41="无效","",IF(H41="",0,H41/$U41*100))</x:f>
        <x:v>0.17669680906350693</x:v>
      </x:c>
      <x:c r="AE41" s="37" t="n">
        <x:f>IF($V41="无效","",IF(I41="",0,I41/$U41*100))</x:f>
        <x:v>0.16630287911859476</x:v>
      </x:c>
      <x:c r="AF41" s="37" t="n">
        <x:f>IF($V41="无效","",IF(J41="",0,J41/$U41*100))</x:f>
        <x:v>22.91861552853134</x:v>
      </x:c>
      <x:c r="AG41" s="37" t="n">
        <x:f>IF($V41="无效","",IF(K41="",0,K41/$U41*100))</x:f>
        <x:v>5.903752208710113</x:v>
      </x:c>
      <x:c r="AH41" s="37" t="n">
        <x:f>IF($V41="无效","",IF(L41="",0,L41/$U41*100))</x:f>
        <x:v>0.4365450576863112</x:v>
      </x:c>
      <x:c r="AI41" s="37" t="n">
        <x:f>IF($V41="无效","",IF(M41="",0,M41/$U41*100))</x:f>
        <x:v>0</x:v>
      </x:c>
      <x:c r="AJ41" s="37" t="n">
        <x:f>IF($V41="无效","",IF(N41="",0,N41/$U41*100))</x:f>
        <x:v>0</x:v>
      </x:c>
      <x:c r="AK41" s="37" t="n">
        <x:f>IF($V41="无效","",IF(O41="",0,O41/$U41*100))</x:f>
        <x:v>0</x:v>
      </x:c>
      <x:c r="AL41" s="37" t="n">
        <x:f>IF(V41="有效",SUM(X41:AK41),"")</x:f>
        <x:v>99.99999999999999</x:v>
      </x:c>
    </x:row>
    <x:row r="42">
      <x:c r="A42" s="32" t="str">
        <x:v>36</x:v>
      </x:c>
      <x:c r="B42" s="33" t="n">
        <x:v>39.57</x:v>
      </x:c>
      <x:c r="C42" s="33" t="n">
        <x:v>2.22</x:v>
      </x:c>
      <x:c r="D42" s="33" t="n">
        <x:v>0.14</x:v>
      </x:c>
      <x:c r="E42" s="33" t="n">
        <x:v>0.37</x:v>
      </x:c>
      <x:c r="F42" s="33"/>
      <x:c r="G42" s="33" t="n">
        <x:v>1.6</x:v>
      </x:c>
      <x:c r="H42" s="33" t="n">
        <x:v>0.32</x:v>
      </x:c>
      <x:c r="I42" s="33" t="n">
        <x:v>0.68</x:v>
      </x:c>
      <x:c r="J42" s="33" t="n">
        <x:v>41.61</x:v>
      </x:c>
      <x:c r="K42" s="33" t="n">
        <x:v>10.83</x:v>
      </x:c>
      <x:c r="L42" s="33" t="n">
        <x:v>0.07</x:v>
      </x:c>
      <x:c r="M42" s="33" t="n">
        <x:v>0.22</x:v>
      </x:c>
      <x:c r="N42" s="33"/>
      <x:c r="O42" s="33"/>
      <x:c r="P42" s="38" t="str">
        <x:v>36</x:v>
      </x:c>
      <x:c r="Q42" s="24" t="str">
        <x:f>IF(ISNUMBER(SEARCH("未风化点",A42)),"未风化点",IF(ISNUMBER(SEARCH("严重风化点",A42)),"严重风化点",IF(ISNUMBER(SEARCH("部位",A42)),"不同部位","普通采样点")))</x:f>
        <x:v>普通采样点</x:v>
      </x:c>
      <x:c r="R42" s="24" t="str">
        <x:f>VLOOKUP(P42,'表单1_清洗'!$A$2:$E$59,3,FALSE)</x:f>
        <x:v>铅钡</x:v>
      </x:c>
      <x:c r="S42" s="24" t="str">
        <x:f>VLOOKUP(P42,'表单1_清洗'!$A$2:$E$59,5,FALSE)</x:f>
        <x:v>风化</x:v>
      </x:c>
      <x:c r="T42" s="24" t="str">
        <x:f>IF(ISNUMBER(SEARCH("未风化点",A42)),"无风化",IF(ISNUMBER(SEARCH("严重风化点",A42)),"风化",S42))</x:f>
        <x:v>风化</x:v>
      </x:c>
      <x:c r="U42" s="36" t="n">
        <x:f>SUM(B42:O42)</x:f>
        <x:v>97.62999999999998</x:v>
      </x:c>
      <x:c r="V42" s="24" t="str">
        <x:f>IF(AND(U42&gt;=85,U42&lt;=105),"有效","无效")</x:f>
        <x:v>有效</x:v>
      </x:c>
      <x:c r="W42" s="24" t="n">
        <x:f>COUNTBLANK(B42:O42)+COUNTIF(B42:O42,0)</x:f>
        <x:v>3</x:v>
      </x:c>
      <x:c r="X42" s="37" t="n">
        <x:f>IF($V42="无效","",IF(B42="",0,B42/$U42*100))</x:f>
        <x:v>40.53057461845745</x:v>
      </x:c>
      <x:c r="Y42" s="37" t="n">
        <x:f>IF($V42="无效","",IF(C42="",0,C42/$U42*100))</x:f>
        <x:v>2.2738912219604637</x:v>
      </x:c>
      <x:c r="Z42" s="37" t="n">
        <x:f>IF($V42="无效","",IF(D42="",0,D42/$U42*100))</x:f>
        <x:v>0.14339854552903825</x:v>
      </x:c>
      <x:c r="AA42" s="37" t="n">
        <x:f>IF($V42="无效","",IF(E42="",0,E42/$U42*100))</x:f>
        <x:v>0.3789818703267439</x:v>
      </x:c>
      <x:c r="AB42" s="37" t="n">
        <x:f>IF($V42="无效","",IF(F42="",0,F42/$U42*100))</x:f>
        <x:v>0</x:v>
      </x:c>
      <x:c r="AC42" s="37" t="n">
        <x:f>IF($V42="无效","",IF(G42="",0,G42/$U42*100))</x:f>
        <x:v>1.6388405203318654</x:v>
      </x:c>
      <x:c r="AD42" s="37" t="n">
        <x:f>IF($V42="无效","",IF(H42="",0,H42/$U42*100))</x:f>
        <x:v>0.32776810406637313</x:v>
      </x:c>
      <x:c r="AE42" s="37" t="n">
        <x:f>IF($V42="无效","",IF(I42="",0,I42/$U42*100))</x:f>
        <x:v>0.6965072211410429</x:v>
      </x:c>
      <x:c r="AF42" s="37" t="n">
        <x:f>IF($V42="无效","",IF(J42="",0,J42/$U42*100))</x:f>
        <x:v>42.62009628188058</x:v>
      </x:c>
      <x:c r="AG42" s="37" t="n">
        <x:f>IF($V42="无效","",IF(K42="",0,K42/$U42*100))</x:f>
        <x:v>11.092901771996315</x:v>
      </x:c>
      <x:c r="AH42" s="37" t="n">
        <x:f>IF($V42="无效","",IF(L42="",0,L42/$U42*100))</x:f>
        <x:v>0.07169927276451912</x:v>
      </x:c>
      <x:c r="AI42" s="37" t="n">
        <x:f>IF($V42="无效","",IF(M42="",0,M42/$U42*100))</x:f>
        <x:v>0.22534057154563153</x:v>
      </x:c>
      <x:c r="AJ42" s="37" t="n">
        <x:f>IF($V42="无效","",IF(N42="",0,N42/$U42*100))</x:f>
        <x:v>0</x:v>
      </x:c>
      <x:c r="AK42" s="37" t="n">
        <x:f>IF($V42="无效","",IF(O42="",0,O42/$U42*100))</x:f>
        <x:v>0</x:v>
      </x:c>
      <x:c r="AL42" s="37" t="n">
        <x:f>IF(V42="有效",SUM(X42:AK42),"")</x:f>
        <x:v>100.00000000000001</x:v>
      </x:c>
    </x:row>
    <x:row r="43">
      <x:c r="A43" s="32" t="str">
        <x:v>37</x:v>
      </x:c>
      <x:c r="B43" s="33" t="n">
        <x:v>60.12</x:v>
      </x:c>
      <x:c r="C43" s="33"/>
      <x:c r="D43" s="33" t="n">
        <x:v>0.23</x:v>
      </x:c>
      <x:c r="E43" s="33" t="n">
        <x:v>0.89</x:v>
      </x:c>
      <x:c r="F43" s="33"/>
      <x:c r="G43" s="33" t="n">
        <x:v>2.72</x:v>
      </x:c>
      <x:c r="H43" s="33"/>
      <x:c r="I43" s="33" t="n">
        <x:v>3.01</x:v>
      </x:c>
      <x:c r="J43" s="33" t="n">
        <x:v>17.24</x:v>
      </x:c>
      <x:c r="K43" s="33" t="n">
        <x:v>10.34</x:v>
      </x:c>
      <x:c r="L43" s="33" t="n">
        <x:v>1.46</x:v>
      </x:c>
      <x:c r="M43" s="33" t="n">
        <x:v>0.31</x:v>
      </x:c>
      <x:c r="N43" s="33"/>
      <x:c r="O43" s="33" t="n">
        <x:v>3.66</x:v>
      </x:c>
      <x:c r="P43" s="38" t="str">
        <x:v>37</x:v>
      </x:c>
      <x:c r="Q43" s="24" t="str">
        <x:f>IF(ISNUMBER(SEARCH("未风化点",A43)),"未风化点",IF(ISNUMBER(SEARCH("严重风化点",A43)),"严重风化点",IF(ISNUMBER(SEARCH("部位",A43)),"不同部位","普通采样点")))</x:f>
        <x:v>普通采样点</x:v>
      </x:c>
      <x:c r="R43" s="24" t="str">
        <x:f>VLOOKUP(P43,'表单1_清洗'!$A$2:$E$59,3,FALSE)</x:f>
        <x:v>铅钡</x:v>
      </x:c>
      <x:c r="S43" s="24" t="str">
        <x:f>VLOOKUP(P43,'表单1_清洗'!$A$2:$E$59,5,FALSE)</x:f>
        <x:v>无风化</x:v>
      </x:c>
      <x:c r="T43" s="24" t="str">
        <x:f>IF(ISNUMBER(SEARCH("未风化点",A43)),"无风化",IF(ISNUMBER(SEARCH("严重风化点",A43)),"风化",S43))</x:f>
        <x:v>无风化</x:v>
      </x:c>
      <x:c r="U43" s="36" t="n">
        <x:f>SUM(B43:O43)</x:f>
        <x:v>99.97999999999999</x:v>
      </x:c>
      <x:c r="V43" s="24" t="str">
        <x:f>IF(AND(U43&gt;=85,U43&lt;=105),"有效","无效")</x:f>
        <x:v>有效</x:v>
      </x:c>
      <x:c r="W43" s="24" t="n">
        <x:f>COUNTBLANK(B43:O43)+COUNTIF(B43:O43,0)</x:f>
        <x:v>4</x:v>
      </x:c>
      <x:c r="X43" s="37" t="n">
        <x:f>IF($V43="无效","",IF(B43="",0,B43/$U43*100))</x:f>
        <x:v>60.13202640528106</x:v>
      </x:c>
      <x:c r="Y43" s="37" t="n">
        <x:f>IF($V43="无效","",IF(C43="",0,C43/$U43*100))</x:f>
        <x:v>0</x:v>
      </x:c>
      <x:c r="Z43" s="37" t="n">
        <x:f>IF($V43="无效","",IF(D43="",0,D43/$U43*100))</x:f>
        <x:v>0.2300460092018404</x:v>
      </x:c>
      <x:c r="AA43" s="37" t="n">
        <x:f>IF($V43="无效","",IF(E43="",0,E43/$U43*100))</x:f>
        <x:v>0.8901780356071216</x:v>
      </x:c>
      <x:c r="AB43" s="37" t="n">
        <x:f>IF($V43="无效","",IF(F43="",0,F43/$U43*100))</x:f>
        <x:v>0</x:v>
      </x:c>
      <x:c r="AC43" s="37" t="n">
        <x:f>IF($V43="无效","",IF(G43="",0,G43/$U43*100))</x:f>
        <x:v>2.720544108821765</x:v>
      </x:c>
      <x:c r="AD43" s="37" t="n">
        <x:f>IF($V43="无效","",IF(H43="",0,H43/$U43*100))</x:f>
        <x:v>0</x:v>
      </x:c>
      <x:c r="AE43" s="37" t="n">
        <x:f>IF($V43="无效","",IF(I43="",0,I43/$U43*100))</x:f>
        <x:v>3.010602120424085</x:v>
      </x:c>
      <x:c r="AF43" s="37" t="n">
        <x:f>IF($V43="无效","",IF(J43="",0,J43/$U43*100))</x:f>
        <x:v>17.243448689737946</x:v>
      </x:c>
      <x:c r="AG43" s="37" t="n">
        <x:f>IF($V43="无效","",IF(K43="",0,K43/$U43*100))</x:f>
        <x:v>10.342068413682737</x:v>
      </x:c>
      <x:c r="AH43" s="37" t="n">
        <x:f>IF($V43="无效","",IF(L43="",0,L43/$U43*100))</x:f>
        <x:v>1.4602920584116825</x:v>
      </x:c>
      <x:c r="AI43" s="37" t="n">
        <x:f>IF($V43="无效","",IF(M43="",0,M43/$U43*100))</x:f>
        <x:v>0.31006201240248055</x:v>
      </x:c>
      <x:c r="AJ43" s="37" t="n">
        <x:f>IF($V43="无效","",IF(N43="",0,N43/$U43*100))</x:f>
        <x:v>0</x:v>
      </x:c>
      <x:c r="AK43" s="37" t="n">
        <x:f>IF($V43="无效","",IF(O43="",0,O43/$U43*100))</x:f>
        <x:v>3.660732146429287</x:v>
      </x:c>
      <x:c r="AL43" s="37" t="n">
        <x:f>IF(V43="有效",SUM(X43:AK43),"")</x:f>
        <x:v>100</x:v>
      </x:c>
    </x:row>
    <x:row r="44">
      <x:c r="A44" s="32" t="str">
        <x:v>38</x:v>
      </x:c>
      <x:c r="B44" s="33" t="n">
        <x:v>32.93</x:v>
      </x:c>
      <x:c r="C44" s="33" t="n">
        <x:v>1.38</x:v>
      </x:c>
      <x:c r="D44" s="33"/>
      <x:c r="E44" s="33" t="n">
        <x:v>0.68</x:v>
      </x:c>
      <x:c r="F44" s="33"/>
      <x:c r="G44" s="33" t="n">
        <x:v>2.57</x:v>
      </x:c>
      <x:c r="H44" s="33" t="n">
        <x:v>0.29</x:v>
      </x:c>
      <x:c r="I44" s="33" t="n">
        <x:v>0.73</x:v>
      </x:c>
      <x:c r="J44" s="33" t="n">
        <x:v>49.31</x:v>
      </x:c>
      <x:c r="K44" s="33" t="n">
        <x:v>9.79</x:v>
      </x:c>
      <x:c r="L44" s="33" t="n">
        <x:v>0.48</x:v>
      </x:c>
      <x:c r="M44" s="33" t="n">
        <x:v>0.41</x:v>
      </x:c>
      <x:c r="N44" s="33"/>
      <x:c r="O44" s="33"/>
      <x:c r="P44" s="38" t="str">
        <x:v>38</x:v>
      </x:c>
      <x:c r="Q44" s="24" t="str">
        <x:f>IF(ISNUMBER(SEARCH("未风化点",A44)),"未风化点",IF(ISNUMBER(SEARCH("严重风化点",A44)),"严重风化点",IF(ISNUMBER(SEARCH("部位",A44)),"不同部位","普通采样点")))</x:f>
        <x:v>普通采样点</x:v>
      </x:c>
      <x:c r="R44" s="24" t="str">
        <x:f>VLOOKUP(P44,'表单1_清洗'!$A$2:$E$59,3,FALSE)</x:f>
        <x:v>铅钡</x:v>
      </x:c>
      <x:c r="S44" s="24" t="str">
        <x:f>VLOOKUP(P44,'表单1_清洗'!$A$2:$E$59,5,FALSE)</x:f>
        <x:v>风化</x:v>
      </x:c>
      <x:c r="T44" s="24" t="str">
        <x:f>IF(ISNUMBER(SEARCH("未风化点",A44)),"无风化",IF(ISNUMBER(SEARCH("严重风化点",A44)),"风化",S44))</x:f>
        <x:v>风化</x:v>
      </x:c>
      <x:c r="U44" s="36" t="n">
        <x:f>SUM(B44:O44)</x:f>
        <x:v>98.57000000000001</x:v>
      </x:c>
      <x:c r="V44" s="24" t="str">
        <x:f>IF(AND(U44&gt;=85,U44&lt;=105),"有效","无效")</x:f>
        <x:v>有效</x:v>
      </x:c>
      <x:c r="W44" s="24" t="n">
        <x:f>COUNTBLANK(B44:O44)+COUNTIF(B44:O44,0)</x:f>
        <x:v>4</x:v>
      </x:c>
      <x:c r="X44" s="37" t="n">
        <x:f>IF($V44="无效","",IF(B44="",0,B44/$U44*100))</x:f>
        <x:v>33.407730546819515</x:v>
      </x:c>
      <x:c r="Y44" s="37" t="n">
        <x:f>IF($V44="无效","",IF(C44="",0,C44/$U44*100))</x:f>
        <x:v>1.4000202901491323</x:v>
      </x:c>
      <x:c r="Z44" s="37" t="n">
        <x:f>IF($V44="无效","",IF(D44="",0,D44/$U44*100))</x:f>
        <x:v>0</x:v>
      </x:c>
      <x:c r="AA44" s="37" t="n">
        <x:f>IF($V44="无效","",IF(E44="",0,E44/$U44*100))</x:f>
        <x:v>0.6898650705082683</x:v>
      </x:c>
      <x:c r="AB44" s="37" t="n">
        <x:f>IF($V44="无效","",IF(F44="",0,F44/$U44*100))</x:f>
        <x:v>0</x:v>
      </x:c>
      <x:c r="AC44" s="37" t="n">
        <x:f>IF($V44="无效","",IF(G44="",0,G44/$U44*100))</x:f>
        <x:v>2.6072841635386017</x:v>
      </x:c>
      <x:c r="AD44" s="37" t="n">
        <x:f>IF($V44="无效","",IF(H44="",0,H44/$U44*100))</x:f>
        <x:v>0.2942071624226438</x:v>
      </x:c>
      <x:c r="AE44" s="37" t="n">
        <x:f>IF($V44="无效","",IF(I44="",0,I44/$U44*100))</x:f>
        <x:v>0.7405904433397584</x:v>
      </x:c>
      <x:c r="AF44" s="37" t="n">
        <x:f>IF($V44="无效","",IF(J44="",0,J44/$U44*100))</x:f>
        <x:v>50.02536268641574</x:v>
      </x:c>
      <x:c r="AG44" s="37" t="n">
        <x:f>IF($V44="无效","",IF(K44="",0,K44/$U44*100))</x:f>
        <x:v>9.9320280004058</x:v>
      </x:c>
      <x:c r="AH44" s="37" t="n">
        <x:f>IF($V44="无效","",IF(L44="",0,L44/$U44*100))</x:f>
        <x:v>0.4869635791823069</x:v>
      </x:c>
      <x:c r="AI44" s="37" t="n">
        <x:f>IF($V44="无效","",IF(M44="",0,M44/$U44*100))</x:f>
        <x:v>0.41594805721822053</x:v>
      </x:c>
      <x:c r="AJ44" s="37" t="n">
        <x:f>IF($V44="无效","",IF(N44="",0,N44/$U44*100))</x:f>
        <x:v>0</x:v>
      </x:c>
      <x:c r="AK44" s="37" t="n">
        <x:f>IF($V44="无效","",IF(O44="",0,O44/$U44*100))</x:f>
        <x:v>0</x:v>
      </x:c>
      <x:c r="AL44" s="37" t="n">
        <x:f>IF(V44="有效",SUM(X44:AK44),"")</x:f>
        <x:v>99.99999999999997</x:v>
      </x:c>
    </x:row>
    <x:row r="45">
      <x:c r="A45" s="32" t="str">
        <x:v>39</x:v>
      </x:c>
      <x:c r="B45" s="33" t="n">
        <x:v>26.25</x:v>
      </x:c>
      <x:c r="C45" s="33"/>
      <x:c r="D45" s="33"/>
      <x:c r="E45" s="33" t="n">
        <x:v>1.11</x:v>
      </x:c>
      <x:c r="F45" s="33"/>
      <x:c r="G45" s="33" t="n">
        <x:v>0.5</x:v>
      </x:c>
      <x:c r="H45" s="33"/>
      <x:c r="I45" s="33" t="n">
        <x:v>0.88</x:v>
      </x:c>
      <x:c r="J45" s="33" t="n">
        <x:v>61.03</x:v>
      </x:c>
      <x:c r="K45" s="33" t="n">
        <x:v>7.22</x:v>
      </x:c>
      <x:c r="L45" s="33" t="n">
        <x:v>1.16</x:v>
      </x:c>
      <x:c r="M45" s="33" t="n">
        <x:v>0.61</x:v>
      </x:c>
      <x:c r="N45" s="33"/>
      <x:c r="O45" s="33"/>
      <x:c r="P45" s="38" t="str">
        <x:v>39</x:v>
      </x:c>
      <x:c r="Q45" s="24" t="str">
        <x:f>IF(ISNUMBER(SEARCH("未风化点",A45)),"未风化点",IF(ISNUMBER(SEARCH("严重风化点",A45)),"严重风化点",IF(ISNUMBER(SEARCH("部位",A45)),"不同部位","普通采样点")))</x:f>
        <x:v>普通采样点</x:v>
      </x:c>
      <x:c r="R45" s="24" t="str">
        <x:f>VLOOKUP(P45,'表单1_清洗'!$A$2:$E$59,3,FALSE)</x:f>
        <x:v>铅钡</x:v>
      </x:c>
      <x:c r="S45" s="24" t="str">
        <x:f>VLOOKUP(P45,'表单1_清洗'!$A$2:$E$59,5,FALSE)</x:f>
        <x:v>风化</x:v>
      </x:c>
      <x:c r="T45" s="24" t="str">
        <x:f>IF(ISNUMBER(SEARCH("未风化点",A45)),"无风化",IF(ISNUMBER(SEARCH("严重风化点",A45)),"风化",S45))</x:f>
        <x:v>风化</x:v>
      </x:c>
      <x:c r="U45" s="36" t="n">
        <x:f>SUM(B45:O45)</x:f>
        <x:v>98.75999999999999</x:v>
      </x:c>
      <x:c r="V45" s="24" t="str">
        <x:f>IF(AND(U45&gt;=85,U45&lt;=105),"有效","无效")</x:f>
        <x:v>有效</x:v>
      </x:c>
      <x:c r="W45" s="24" t="n">
        <x:f>COUNTBLANK(B45:O45)+COUNTIF(B45:O45,0)</x:f>
        <x:v>6</x:v>
      </x:c>
      <x:c r="X45" s="37" t="n">
        <x:f>IF($V45="无效","",IF(B45="",0,B45/$U45*100))</x:f>
        <x:v>26.579586877278256</x:v>
      </x:c>
      <x:c r="Y45" s="37" t="n">
        <x:f>IF($V45="无效","",IF(C45="",0,C45/$U45*100))</x:f>
        <x:v>0</x:v>
      </x:c>
      <x:c r="Z45" s="37" t="n">
        <x:f>IF($V45="无效","",IF(D45="",0,D45/$U45*100))</x:f>
        <x:v>0</x:v>
      </x:c>
      <x:c r="AA45" s="37" t="n">
        <x:f>IF($V45="无效","",IF(E45="",0,E45/$U45*100))</x:f>
        <x:v>1.123936816524909</x:v>
      </x:c>
      <x:c r="AB45" s="37" t="n">
        <x:f>IF($V45="无效","",IF(F45="",0,F45/$U45*100))</x:f>
        <x:v>0</x:v>
      </x:c>
      <x:c r="AC45" s="37" t="n">
        <x:f>IF($V45="无效","",IF(G45="",0,G45/$U45*100))</x:f>
        <x:v>0.5062778452814904</x:v>
      </x:c>
      <x:c r="AD45" s="37" t="n">
        <x:f>IF($V45="无效","",IF(H45="",0,H45/$U45*100))</x:f>
        <x:v>0</x:v>
      </x:c>
      <x:c r="AE45" s="37" t="n">
        <x:f>IF($V45="无效","",IF(I45="",0,I45/$U45*100))</x:f>
        <x:v>0.8910490076954233</x:v>
      </x:c>
      <x:c r="AF45" s="37" t="n">
        <x:f>IF($V45="无效","",IF(J45="",0,J45/$U45*100))</x:f>
        <x:v>61.79627379505873</x:v>
      </x:c>
      <x:c r="AG45" s="37" t="n">
        <x:f>IF($V45="无效","",IF(K45="",0,K45/$U45*100))</x:f>
        <x:v>7.3106520858647235</x:v>
      </x:c>
      <x:c r="AH45" s="37" t="n">
        <x:f>IF($V45="无效","",IF(L45="",0,L45/$U45*100))</x:f>
        <x:v>1.174564601053058</x:v>
      </x:c>
      <x:c r="AI45" s="37" t="n">
        <x:f>IF($V45="无效","",IF(M45="",0,M45/$U45*100))</x:f>
        <x:v>0.6176589712434184</x:v>
      </x:c>
      <x:c r="AJ45" s="37" t="n">
        <x:f>IF($V45="无效","",IF(N45="",0,N45/$U45*100))</x:f>
        <x:v>0</x:v>
      </x:c>
      <x:c r="AK45" s="37" t="n">
        <x:f>IF($V45="无效","",IF(O45="",0,O45/$U45*100))</x:f>
        <x:v>0</x:v>
      </x:c>
      <x:c r="AL45" s="37" t="n">
        <x:f>IF(V45="有效",SUM(X45:AK45),"")</x:f>
        <x:v>100</x:v>
      </x:c>
    </x:row>
    <x:row r="46">
      <x:c r="A46" s="32" t="str">
        <x:v>40</x:v>
      </x:c>
      <x:c r="B46" s="33" t="n">
        <x:v>16.71</x:v>
      </x:c>
      <x:c r="C46" s="33"/>
      <x:c r="D46" s="33"/>
      <x:c r="E46" s="33" t="n">
        <x:v>1.87</x:v>
      </x:c>
      <x:c r="F46" s="33"/>
      <x:c r="G46" s="33" t="n">
        <x:v>0.45</x:v>
      </x:c>
      <x:c r="H46" s="33" t="n">
        <x:v>0.19</x:v>
      </x:c>
      <x:c r="I46" s="33"/>
      <x:c r="J46" s="33" t="n">
        <x:v>70.21</x:v>
      </x:c>
      <x:c r="K46" s="33" t="n">
        <x:v>6.69</x:v>
      </x:c>
      <x:c r="L46" s="33" t="n">
        <x:v>1.77</x:v>
      </x:c>
      <x:c r="M46" s="33" t="n">
        <x:v>0.68</x:v>
      </x:c>
      <x:c r="N46" s="33"/>
      <x:c r="O46" s="33"/>
      <x:c r="P46" s="38" t="str">
        <x:v>40</x:v>
      </x:c>
      <x:c r="Q46" s="24" t="str">
        <x:f>IF(ISNUMBER(SEARCH("未风化点",A46)),"未风化点",IF(ISNUMBER(SEARCH("严重风化点",A46)),"严重风化点",IF(ISNUMBER(SEARCH("部位",A46)),"不同部位","普通采样点")))</x:f>
        <x:v>普通采样点</x:v>
      </x:c>
      <x:c r="R46" s="24" t="str">
        <x:f>VLOOKUP(P46,'表单1_清洗'!$A$2:$E$59,3,FALSE)</x:f>
        <x:v>铅钡</x:v>
      </x:c>
      <x:c r="S46" s="24" t="str">
        <x:f>VLOOKUP(P46,'表单1_清洗'!$A$2:$E$59,5,FALSE)</x:f>
        <x:v>风化</x:v>
      </x:c>
      <x:c r="T46" s="24" t="str">
        <x:f>IF(ISNUMBER(SEARCH("未风化点",A46)),"无风化",IF(ISNUMBER(SEARCH("严重风化点",A46)),"风化",S46))</x:f>
        <x:v>风化</x:v>
      </x:c>
      <x:c r="U46" s="36" t="n">
        <x:f>SUM(B46:O46)</x:f>
        <x:v>98.57</x:v>
      </x:c>
      <x:c r="V46" s="24" t="str">
        <x:f>IF(AND(U46&gt;=85,U46&lt;=105),"有效","无效")</x:f>
        <x:v>有效</x:v>
      </x:c>
      <x:c r="W46" s="24" t="n">
        <x:f>COUNTBLANK(B46:O46)+COUNTIF(B46:O46,0)</x:f>
        <x:v>6</x:v>
      </x:c>
      <x:c r="X46" s="37" t="n">
        <x:f>IF($V46="无效","",IF(B46="",0,B46/$U46*100))</x:f>
        <x:v>16.952419600284063</x:v>
      </x:c>
      <x:c r="Y46" s="37" t="n">
        <x:f>IF($V46="无效","",IF(C46="",0,C46/$U46*100))</x:f>
        <x:v>0</x:v>
      </x:c>
      <x:c r="Z46" s="37" t="n">
        <x:f>IF($V46="无效","",IF(D46="",0,D46/$U46*100))</x:f>
        <x:v>0</x:v>
      </x:c>
      <x:c r="AA46" s="37" t="n">
        <x:f>IF($V46="无效","",IF(E46="",0,E46/$U46*100))</x:f>
        <x:v>1.8971289438977377</x:v>
      </x:c>
      <x:c r="AB46" s="37" t="n">
        <x:f>IF($V46="无效","",IF(F46="",0,F46/$U46*100))</x:f>
        <x:v>0</x:v>
      </x:c>
      <x:c r="AC46" s="37" t="n">
        <x:f>IF($V46="无效","",IF(G46="",0,G46/$U46*100))</x:f>
        <x:v>0.4565283554834128</x:v>
      </x:c>
      <x:c r="AD46" s="37" t="n">
        <x:f>IF($V46="无效","",IF(H46="",0,H46/$U46*100))</x:f>
        <x:v>0.1927564167596632</x:v>
      </x:c>
      <x:c r="AE46" s="37" t="n">
        <x:f>IF($V46="无效","",IF(I46="",0,I46/$U46*100))</x:f>
        <x:v>0</x:v>
      </x:c>
      <x:c r="AF46" s="37" t="n">
        <x:f>IF($V46="无效","",IF(J46="",0,J46/$U46*100))</x:f>
        <x:v>71.2285685299787</x:v>
      </x:c>
      <x:c r="AG46" s="37" t="n">
        <x:f>IF($V46="无效","",IF(K46="",0,K46/$U46*100))</x:f>
        <x:v>6.787054884853405</x:v>
      </x:c>
      <x:c r="AH46" s="37" t="n">
        <x:f>IF($V46="无效","",IF(L46="",0,L46/$U46*100))</x:f>
        <x:v>1.7956781982347574</x:v>
      </x:c>
      <x:c r="AI46" s="37" t="n">
        <x:f>IF($V46="无效","",IF(M46="",0,M46/$U46*100))</x:f>
        <x:v>0.6898650705082683</x:v>
      </x:c>
      <x:c r="AJ46" s="37" t="n">
        <x:f>IF($V46="无效","",IF(N46="",0,N46/$U46*100))</x:f>
        <x:v>0</x:v>
      </x:c>
      <x:c r="AK46" s="37" t="n">
        <x:f>IF($V46="无效","",IF(O46="",0,O46/$U46*100))</x:f>
        <x:v>0</x:v>
      </x:c>
      <x:c r="AL46" s="37" t="n">
        <x:f>IF(V46="有效",SUM(X46:AK46),"")</x:f>
        <x:v>100</x:v>
      </x:c>
    </x:row>
    <x:row r="47">
      <x:c r="A47" s="32" t="str">
        <x:v>41</x:v>
      </x:c>
      <x:c r="B47" s="33" t="n">
        <x:v>18.46</x:v>
      </x:c>
      <x:c r="C47" s="33"/>
      <x:c r="D47" s="33" t="n">
        <x:v>0.44</x:v>
      </x:c>
      <x:c r="E47" s="33" t="n">
        <x:v>4.96</x:v>
      </x:c>
      <x:c r="F47" s="33" t="n">
        <x:v>2.73</x:v>
      </x:c>
      <x:c r="G47" s="33" t="n">
        <x:v>3.33</x:v>
      </x:c>
      <x:c r="H47" s="33" t="n">
        <x:v>1.79</x:v>
      </x:c>
      <x:c r="I47" s="33" t="n">
        <x:v>0.19</x:v>
      </x:c>
      <x:c r="J47" s="33" t="n">
        <x:v>44.12</x:v>
      </x:c>
      <x:c r="K47" s="33" t="n">
        <x:v>9.76</x:v>
      </x:c>
      <x:c r="L47" s="33" t="n">
        <x:v>7.46</x:v>
      </x:c>
      <x:c r="M47" s="33" t="n">
        <x:v>0.47</x:v>
      </x:c>
      <x:c r="N47" s="33"/>
      <x:c r="O47" s="33"/>
      <x:c r="P47" s="38" t="str">
        <x:v>41</x:v>
      </x:c>
      <x:c r="Q47" s="24" t="str">
        <x:f>IF(ISNUMBER(SEARCH("未风化点",A47)),"未风化点",IF(ISNUMBER(SEARCH("严重风化点",A47)),"严重风化点",IF(ISNUMBER(SEARCH("部位",A47)),"不同部位","普通采样点")))</x:f>
        <x:v>普通采样点</x:v>
      </x:c>
      <x:c r="R47" s="24" t="str">
        <x:f>VLOOKUP(P47,'表单1_清洗'!$A$2:$E$59,3,FALSE)</x:f>
        <x:v>铅钡</x:v>
      </x:c>
      <x:c r="S47" s="24" t="str">
        <x:f>VLOOKUP(P47,'表单1_清洗'!$A$2:$E$59,5,FALSE)</x:f>
        <x:v>风化</x:v>
      </x:c>
      <x:c r="T47" s="24" t="str">
        <x:f>IF(ISNUMBER(SEARCH("未风化点",A47)),"无风化",IF(ISNUMBER(SEARCH("严重风化点",A47)),"风化",S47))</x:f>
        <x:v>风化</x:v>
      </x:c>
      <x:c r="U47" s="36" t="n">
        <x:f>SUM(B47:O47)</x:f>
        <x:v>93.71</x:v>
      </x:c>
      <x:c r="V47" s="24" t="str">
        <x:f>IF(AND(U47&gt;=85,U47&lt;=105),"有效","无效")</x:f>
        <x:v>有效</x:v>
      </x:c>
      <x:c r="W47" s="24" t="n">
        <x:f>COUNTBLANK(B47:O47)+COUNTIF(B47:O47,0)</x:f>
        <x:v>3</x:v>
      </x:c>
      <x:c r="X47" s="37" t="n">
        <x:f>IF($V47="无效","",IF(B47="",0,B47/$U47*100))</x:f>
        <x:v>19.699071603884327</x:v>
      </x:c>
      <x:c r="Y47" s="37" t="n">
        <x:f>IF($V47="无效","",IF(C47="",0,C47/$U47*100))</x:f>
        <x:v>0</x:v>
      </x:c>
      <x:c r="Z47" s="37" t="n">
        <x:f>IF($V47="无效","",IF(D47="",0,D47/$U47*100))</x:f>
        <x:v>0.4695336676982179</x:v>
      </x:c>
      <x:c r="AA47" s="37" t="n">
        <x:f>IF($V47="无效","",IF(E47="",0,E47/$U47*100))</x:f>
        <x:v>5.292924981325366</x:v>
      </x:c>
      <x:c r="AB47" s="37" t="n">
        <x:f>IF($V47="无效","",IF(F47="",0,F47/$U47*100))</x:f>
        <x:v>2.913242983673034</x:v>
      </x:c>
      <x:c r="AC47" s="37" t="n">
        <x:f>IF($V47="无效","",IF(G47="",0,G47/$U47*100))</x:f>
        <x:v>3.553516166897877</x:v>
      </x:c>
      <x:c r="AD47" s="37" t="n">
        <x:f>IF($V47="无效","",IF(H47="",0,H47/$U47*100))</x:f>
        <x:v>1.910148329954114</x:v>
      </x:c>
      <x:c r="AE47" s="37" t="n">
        <x:f>IF($V47="无效","",IF(I47="",0,I47/$U47*100))</x:f>
        <x:v>0.20275317468786683</x:v>
      </x:c>
      <x:c r="AF47" s="37" t="n">
        <x:f>IF($V47="无效","",IF(J47="",0,J47/$U47*100))</x:f>
        <x:v>47.08142140646676</x:v>
      </x:c>
      <x:c r="AG47" s="37" t="n">
        <x:f>IF($V47="无效","",IF(K47="",0,K47/$U47*100))</x:f>
        <x:v>10.415110447124107</x:v>
      </x:c>
      <x:c r="AH47" s="37" t="n">
        <x:f>IF($V47="无效","",IF(L47="",0,L47/$U47*100))</x:f>
        <x:v>7.960729911428876</x:v>
      </x:c>
      <x:c r="AI47" s="37" t="n">
        <x:f>IF($V47="无效","",IF(M47="",0,M47/$U47*100))</x:f>
        <x:v>0.50154732685946</x:v>
      </x:c>
      <x:c r="AJ47" s="37" t="n">
        <x:f>IF($V47="无效","",IF(N47="",0,N47/$U47*100))</x:f>
        <x:v>0</x:v>
      </x:c>
      <x:c r="AK47" s="37" t="n">
        <x:f>IF($V47="无效","",IF(O47="",0,O47/$U47*100))</x:f>
        <x:v>0</x:v>
      </x:c>
      <x:c r="AL47" s="37" t="n">
        <x:f>IF(V47="有效",SUM(X47:AK47),"")</x:f>
        <x:v>100</x:v>
      </x:c>
    </x:row>
    <x:row r="48">
      <x:c r="A48" s="32" t="str">
        <x:v>42未风化点1</x:v>
      </x:c>
      <x:c r="B48" s="33" t="n">
        <x:v>51.26</x:v>
      </x:c>
      <x:c r="C48" s="33" t="n">
        <x:v>5.74</x:v>
      </x:c>
      <x:c r="D48" s="33" t="n">
        <x:v>0.15</x:v>
      </x:c>
      <x:c r="E48" s="33" t="n">
        <x:v>0.79</x:v>
      </x:c>
      <x:c r="F48" s="33" t="n">
        <x:v>1.09</x:v>
      </x:c>
      <x:c r="G48" s="33" t="n">
        <x:v>3.53</x:v>
      </x:c>
      <x:c r="H48" s="33"/>
      <x:c r="I48" s="33" t="n">
        <x:v>2.67</x:v>
      </x:c>
      <x:c r="J48" s="33" t="n">
        <x:v>21.88</x:v>
      </x:c>
      <x:c r="K48" s="33" t="n">
        <x:v>10.47</x:v>
      </x:c>
      <x:c r="L48" s="33" t="n">
        <x:v>0.08</x:v>
      </x:c>
      <x:c r="M48" s="33" t="n">
        <x:v>0.35</x:v>
      </x:c>
      <x:c r="N48" s="33"/>
      <x:c r="O48" s="33"/>
      <x:c r="P48" s="38" t="str">
        <x:v>42</x:v>
      </x:c>
      <x:c r="Q48" s="24" t="str">
        <x:f>IF(ISNUMBER(SEARCH("未风化点",A48)),"未风化点",IF(ISNUMBER(SEARCH("严重风化点",A48)),"严重风化点",IF(ISNUMBER(SEARCH("部位",A48)),"不同部位","普通采样点")))</x:f>
        <x:v>未风化点</x:v>
      </x:c>
      <x:c r="R48" s="24" t="str">
        <x:f>VLOOKUP(P48,'表单1_清洗'!$A$2:$E$59,3,FALSE)</x:f>
        <x:v>铅钡</x:v>
      </x:c>
      <x:c r="S48" s="24" t="str">
        <x:f>VLOOKUP(P48,'表单1_清洗'!$A$2:$E$59,5,FALSE)</x:f>
        <x:v>风化</x:v>
      </x:c>
      <x:c r="T48" s="24" t="str">
        <x:f>IF(ISNUMBER(SEARCH("未风化点",A48)),"无风化",IF(ISNUMBER(SEARCH("严重风化点",A48)),"风化",S48))</x:f>
        <x:v>无风化</x:v>
      </x:c>
      <x:c r="U48" s="36" t="n">
        <x:f>SUM(B48:O48)</x:f>
        <x:v>98.00999999999999</x:v>
      </x:c>
      <x:c r="V48" s="24" t="str">
        <x:f>IF(AND(U48&gt;=85,U48&lt;=105),"有效","无效")</x:f>
        <x:v>有效</x:v>
      </x:c>
      <x:c r="W48" s="24" t="n">
        <x:f>COUNTBLANK(B48:O48)+COUNTIF(B48:O48,0)</x:f>
        <x:v>3</x:v>
      </x:c>
      <x:c r="X48" s="37" t="n">
        <x:f>IF($V48="无效","",IF(B48="",0,B48/$U48*100))</x:f>
        <x:v>52.300785634118974</x:v>
      </x:c>
      <x:c r="Y48" s="37" t="n">
        <x:f>IF($V48="无效","",IF(C48="",0,C48/$U48*100))</x:f>
        <x:v>5.856545250484645</x:v>
      </x:c>
      <x:c r="Z48" s="37" t="n">
        <x:f>IF($V48="无效","",IF(D48="",0,D48/$U48*100))</x:f>
        <x:v>0.15304560759106214</x:v>
      </x:c>
      <x:c r="AA48" s="37" t="n">
        <x:f>IF($V48="无效","",IF(E48="",0,E48/$U48*100))</x:f>
        <x:v>0.8060401999795941</x:v>
      </x:c>
      <x:c r="AB48" s="37" t="n">
        <x:f>IF($V48="无效","",IF(F48="",0,F48/$U48*100))</x:f>
        <x:v>1.1121314151617185</x:v>
      </x:c>
      <x:c r="AC48" s="37" t="n">
        <x:f>IF($V48="无效","",IF(G48="",0,G48/$U48*100))</x:f>
        <x:v>3.6016732986429956</x:v>
      </x:c>
      <x:c r="AD48" s="37" t="n">
        <x:f>IF($V48="无效","",IF(H48="",0,H48/$U48*100))</x:f>
        <x:v>0</x:v>
      </x:c>
      <x:c r="AE48" s="37" t="n">
        <x:f>IF($V48="无效","",IF(I48="",0,I48/$U48*100))</x:f>
        <x:v>2.7242118151209063</x:v>
      </x:c>
      <x:c r="AF48" s="37" t="n">
        <x:f>IF($V48="无效","",IF(J48="",0,J48/$U48*100))</x:f>
        <x:v>22.32425262728293</x:v>
      </x:c>
      <x:c r="AG48" s="37" t="n">
        <x:f>IF($V48="无效","",IF(K48="",0,K48/$U48*100))</x:f>
        <x:v>10.68258340985614</x:v>
      </x:c>
      <x:c r="AH48" s="37" t="n">
        <x:f>IF($V48="无效","",IF(L48="",0,L48/$U48*100))</x:f>
        <x:v>0.08162432404856648</x:v>
      </x:c>
      <x:c r="AI48" s="37" t="n">
        <x:f>IF($V48="无效","",IF(M48="",0,M48/$U48*100))</x:f>
        <x:v>0.3571064177124783</x:v>
      </x:c>
      <x:c r="AJ48" s="37" t="n">
        <x:f>IF($V48="无效","",IF(N48="",0,N48/$U48*100))</x:f>
        <x:v>0</x:v>
      </x:c>
      <x:c r="AK48" s="37" t="n">
        <x:f>IF($V48="无效","",IF(O48="",0,O48/$U48*100))</x:f>
        <x:v>0</x:v>
      </x:c>
      <x:c r="AL48" s="37" t="n">
        <x:f>IF(V48="有效",SUM(X48:AK48),"")</x:f>
        <x:v>99.99999999999999</x:v>
      </x:c>
    </x:row>
    <x:row r="49">
      <x:c r="A49" s="32" t="str">
        <x:v>42未风化点2</x:v>
      </x:c>
      <x:c r="B49" s="33" t="n">
        <x:v>51.33</x:v>
      </x:c>
      <x:c r="C49" s="33" t="n">
        <x:v>5.68</x:v>
      </x:c>
      <x:c r="D49" s="33" t="n">
        <x:v>0.35</x:v>
      </x:c>
      <x:c r="E49" s="33"/>
      <x:c r="F49" s="33" t="n">
        <x:v>1.16</x:v>
      </x:c>
      <x:c r="G49" s="33" t="n">
        <x:v>5.66</x:v>
      </x:c>
      <x:c r="H49" s="33"/>
      <x:c r="I49" s="33" t="n">
        <x:v>2.72</x:v>
      </x:c>
      <x:c r="J49" s="33" t="n">
        <x:v>20.12</x:v>
      </x:c>
      <x:c r="K49" s="33" t="n">
        <x:v>10.88</x:v>
      </x:c>
      <x:c r="L49" s="33"/>
      <x:c r="M49" s="33"/>
      <x:c r="N49" s="33"/>
      <x:c r="O49" s="33"/>
      <x:c r="P49" s="38" t="str">
        <x:v>42</x:v>
      </x:c>
      <x:c r="Q49" s="24" t="str">
        <x:f>IF(ISNUMBER(SEARCH("未风化点",A49)),"未风化点",IF(ISNUMBER(SEARCH("严重风化点",A49)),"严重风化点",IF(ISNUMBER(SEARCH("部位",A49)),"不同部位","普通采样点")))</x:f>
        <x:v>未风化点</x:v>
      </x:c>
      <x:c r="R49" s="24" t="str">
        <x:f>VLOOKUP(P49,'表单1_清洗'!$A$2:$E$59,3,FALSE)</x:f>
        <x:v>铅钡</x:v>
      </x:c>
      <x:c r="S49" s="24" t="str">
        <x:f>VLOOKUP(P49,'表单1_清洗'!$A$2:$E$59,5,FALSE)</x:f>
        <x:v>风化</x:v>
      </x:c>
      <x:c r="T49" s="24" t="str">
        <x:f>IF(ISNUMBER(SEARCH("未风化点",A49)),"无风化",IF(ISNUMBER(SEARCH("严重风化点",A49)),"风化",S49))</x:f>
        <x:v>无风化</x:v>
      </x:c>
      <x:c r="U49" s="36" t="n">
        <x:f>SUM(B49:O49)</x:f>
        <x:v>97.89999999999999</x:v>
      </x:c>
      <x:c r="V49" s="24" t="str">
        <x:f>IF(AND(U49&gt;=85,U49&lt;=105),"有效","无效")</x:f>
        <x:v>有效</x:v>
      </x:c>
      <x:c r="W49" s="24" t="n">
        <x:f>COUNTBLANK(B49:O49)+COUNTIF(B49:O49,0)</x:f>
        <x:v>6</x:v>
      </x:c>
      <x:c r="X49" s="37" t="n">
        <x:f>IF($V49="无效","",IF(B49="",0,B49/$U49*100))</x:f>
        <x:v>52.43105209397344</x:v>
      </x:c>
      <x:c r="Y49" s="37" t="n">
        <x:f>IF($V49="无效","",IF(C49="",0,C49/$U49*100))</x:f>
        <x:v>5.8018386108273745</x:v>
      </x:c>
      <x:c r="Z49" s="37" t="n">
        <x:f>IF($V49="无效","",IF(D49="",0,D49/$U49*100))</x:f>
        <x:v>0.35750766087844743</x:v>
      </x:c>
      <x:c r="AA49" s="37" t="n">
        <x:f>IF($V49="无效","",IF(E49="",0,E49/$U49*100))</x:f>
        <x:v>0</x:v>
      </x:c>
      <x:c r="AB49" s="37" t="n">
        <x:f>IF($V49="无效","",IF(F49="",0,F49/$U49*100))</x:f>
        <x:v>1.18488253319714</x:v>
      </x:c>
      <x:c r="AC49" s="37" t="n">
        <x:f>IF($V49="无效","",IF(G49="",0,G49/$U49*100))</x:f>
        <x:v>5.781409601634321</x:v>
      </x:c>
      <x:c r="AD49" s="37" t="n">
        <x:f>IF($V49="无效","",IF(H49="",0,H49/$U49*100))</x:f>
        <x:v>0</x:v>
      </x:c>
      <x:c r="AE49" s="37" t="n">
        <x:f>IF($V49="无效","",IF(I49="",0,I49/$U49*100))</x:f>
        <x:v>2.778345250255363</x:v>
      </x:c>
      <x:c r="AF49" s="37" t="n">
        <x:f>IF($V49="无效","",IF(J49="",0,J49/$U49*100))</x:f>
        <x:v>20.551583248212467</x:v>
      </x:c>
      <x:c r="AG49" s="37" t="n">
        <x:f>IF($V49="无效","",IF(K49="",0,K49/$U49*100))</x:f>
        <x:v>11.113381001021452</x:v>
      </x:c>
      <x:c r="AH49" s="37" t="n">
        <x:f>IF($V49="无效","",IF(L49="",0,L49/$U49*100))</x:f>
        <x:v>0</x:v>
      </x:c>
      <x:c r="AI49" s="37" t="n">
        <x:f>IF($V49="无效","",IF(M49="",0,M49/$U49*100))</x:f>
        <x:v>0</x:v>
      </x:c>
      <x:c r="AJ49" s="37" t="n">
        <x:f>IF($V49="无效","",IF(N49="",0,N49/$U49*100))</x:f>
        <x:v>0</x:v>
      </x:c>
      <x:c r="AK49" s="37" t="n">
        <x:f>IF($V49="无效","",IF(O49="",0,O49/$U49*100))</x:f>
        <x:v>0</x:v>
      </x:c>
      <x:c r="AL49" s="37" t="n">
        <x:f>IF(V49="有效",SUM(X49:AK49),"")</x:f>
        <x:v>100</x:v>
      </x:c>
    </x:row>
    <x:row r="50">
      <x:c r="A50" s="32" t="str">
        <x:v>43部位1</x:v>
      </x:c>
      <x:c r="B50" s="33" t="n">
        <x:v>12.41</x:v>
      </x:c>
      <x:c r="C50" s="33"/>
      <x:c r="D50" s="33"/>
      <x:c r="E50" s="33" t="n">
        <x:v>5.24</x:v>
      </x:c>
      <x:c r="F50" s="33" t="n">
        <x:v>0.89</x:v>
      </x:c>
      <x:c r="G50" s="33" t="n">
        <x:v>2.25</x:v>
      </x:c>
      <x:c r="H50" s="33" t="n">
        <x:v>0.76</x:v>
      </x:c>
      <x:c r="I50" s="33" t="n">
        <x:v>5.35</x:v>
      </x:c>
      <x:c r="J50" s="33" t="n">
        <x:v>59.85</x:v>
      </x:c>
      <x:c r="K50" s="33" t="n">
        <x:v>7.29</x:v>
      </x:c>
      <x:c r="L50" s="33"/>
      <x:c r="M50" s="33" t="n">
        <x:v>0.64</x:v>
      </x:c>
      <x:c r="N50" s="33"/>
      <x:c r="O50" s="33"/>
      <x:c r="P50" s="38" t="str">
        <x:v>43</x:v>
      </x:c>
      <x:c r="Q50" s="24" t="str">
        <x:f>IF(ISNUMBER(SEARCH("未风化点",A50)),"未风化点",IF(ISNUMBER(SEARCH("严重风化点",A50)),"严重风化点",IF(ISNUMBER(SEARCH("部位",A50)),"不同部位","普通采样点")))</x:f>
        <x:v>不同部位</x:v>
      </x:c>
      <x:c r="R50" s="24" t="str">
        <x:f>VLOOKUP(P50,'表单1_清洗'!$A$2:$E$59,3,FALSE)</x:f>
        <x:v>铅钡</x:v>
      </x:c>
      <x:c r="S50" s="24" t="str">
        <x:f>VLOOKUP(P50,'表单1_清洗'!$A$2:$E$59,5,FALSE)</x:f>
        <x:v>风化</x:v>
      </x:c>
      <x:c r="T50" s="24" t="str">
        <x:f>IF(ISNUMBER(SEARCH("未风化点",A50)),"无风化",IF(ISNUMBER(SEARCH("严重风化点",A50)),"风化",S50))</x:f>
        <x:v>风化</x:v>
      </x:c>
      <x:c r="U50" s="36" t="n">
        <x:f>SUM(B50:O50)</x:f>
        <x:v>94.68</x:v>
      </x:c>
      <x:c r="V50" s="24" t="str">
        <x:f>IF(AND(U50&gt;=85,U50&lt;=105),"有效","无效")</x:f>
        <x:v>有效</x:v>
      </x:c>
      <x:c r="W50" s="24" t="n">
        <x:f>COUNTBLANK(B50:O50)+COUNTIF(B50:O50,0)</x:f>
        <x:v>5</x:v>
      </x:c>
      <x:c r="X50" s="37" t="n">
        <x:f>IF($V50="无效","",IF(B50="",0,B50/$U50*100))</x:f>
        <x:v>13.107308829742289</x:v>
      </x:c>
      <x:c r="Y50" s="37" t="n">
        <x:f>IF($V50="无效","",IF(C50="",0,C50/$U50*100))</x:f>
        <x:v>0</x:v>
      </x:c>
      <x:c r="Z50" s="37" t="n">
        <x:f>IF($V50="无效","",IF(D50="",0,D50/$U50*100))</x:f>
        <x:v>0</x:v>
      </x:c>
      <x:c r="AA50" s="37" t="n">
        <x:f>IF($V50="无效","",IF(E50="",0,E50/$U50*100))</x:f>
        <x:v>5.534431770173215</x:v>
      </x:c>
      <x:c r="AB50" s="37" t="n">
        <x:f>IF($V50="无效","",IF(F50="",0,F50/$U50*100))</x:f>
        <x:v>0.9400084495141527</x:v>
      </x:c>
      <x:c r="AC50" s="37" t="n">
        <x:f>IF($V50="无效","",IF(G50="",0,G50/$U50*100))</x:f>
        <x:v>2.376425855513308</x:v>
      </x:c>
      <x:c r="AD50" s="37" t="n">
        <x:f>IF($V50="无效","",IF(H50="",0,H50/$U50*100))</x:f>
        <x:v>0.8027038445289396</x:v>
      </x:c>
      <x:c r="AE50" s="37" t="n">
        <x:f>IF($V50="无效","",IF(I50="",0,I50/$U50*100))</x:f>
        <x:v>5.650612589776087</x:v>
      </x:c>
      <x:c r="AF50" s="37" t="n">
        <x:f>IF($V50="无效","",IF(J50="",0,J50/$U50*100))</x:f>
        <x:v>63.21292775665399</x:v>
      </x:c>
      <x:c r="AG50" s="37" t="n">
        <x:f>IF($V50="无效","",IF(K50="",0,K50/$U50*100))</x:f>
        <x:v>7.699619771863117</x:v>
      </x:c>
      <x:c r="AH50" s="37" t="n">
        <x:f>IF($V50="无效","",IF(L50="",0,L50/$U50*100))</x:f>
        <x:v>0</x:v>
      </x:c>
      <x:c r="AI50" s="37" t="n">
        <x:f>IF($V50="无效","",IF(M50="",0,M50/$U50*100))</x:f>
        <x:v>0.6759611322348965</x:v>
      </x:c>
      <x:c r="AJ50" s="37" t="n">
        <x:f>IF($V50="无效","",IF(N50="",0,N50/$U50*100))</x:f>
        <x:v>0</x:v>
      </x:c>
      <x:c r="AK50" s="37" t="n">
        <x:f>IF($V50="无效","",IF(O50="",0,O50/$U50*100))</x:f>
        <x:v>0</x:v>
      </x:c>
      <x:c r="AL50" s="37" t="n">
        <x:f>IF(V50="有效",SUM(X50:AK50),"")</x:f>
        <x:v>100</x:v>
      </x:c>
    </x:row>
    <x:row r="51">
      <x:c r="A51" s="32" t="str">
        <x:v>43部位2</x:v>
      </x:c>
      <x:c r="B51" s="33" t="n">
        <x:v>21.7</x:v>
      </x:c>
      <x:c r="C51" s="33"/>
      <x:c r="D51" s="33"/>
      <x:c r="E51" s="33" t="n">
        <x:v>6.4</x:v>
      </x:c>
      <x:c r="F51" s="33" t="n">
        <x:v>0.95</x:v>
      </x:c>
      <x:c r="G51" s="33" t="n">
        <x:v>3.41</x:v>
      </x:c>
      <x:c r="H51" s="33" t="n">
        <x:v>1.39</x:v>
      </x:c>
      <x:c r="I51" s="33" t="n">
        <x:v>1.51</x:v>
      </x:c>
      <x:c r="J51" s="33" t="n">
        <x:v>44.75</x:v>
      </x:c>
      <x:c r="K51" s="33" t="n">
        <x:v>3.26</x:v>
      </x:c>
      <x:c r="L51" s="33" t="n">
        <x:v>12.83</x:v>
      </x:c>
      <x:c r="M51" s="33" t="n">
        <x:v>0.47</x:v>
      </x:c>
      <x:c r="N51" s="33"/>
      <x:c r="O51" s="33"/>
      <x:c r="P51" s="38" t="str">
        <x:v>43</x:v>
      </x:c>
      <x:c r="Q51" s="24" t="str">
        <x:f>IF(ISNUMBER(SEARCH("未风化点",A51)),"未风化点",IF(ISNUMBER(SEARCH("严重风化点",A51)),"严重风化点",IF(ISNUMBER(SEARCH("部位",A51)),"不同部位","普通采样点")))</x:f>
        <x:v>不同部位</x:v>
      </x:c>
      <x:c r="R51" s="24" t="str">
        <x:f>VLOOKUP(P51,'表单1_清洗'!$A$2:$E$59,3,FALSE)</x:f>
        <x:v>铅钡</x:v>
      </x:c>
      <x:c r="S51" s="24" t="str">
        <x:f>VLOOKUP(P51,'表单1_清洗'!$A$2:$E$59,5,FALSE)</x:f>
        <x:v>风化</x:v>
      </x:c>
      <x:c r="T51" s="24" t="str">
        <x:f>IF(ISNUMBER(SEARCH("未风化点",A51)),"无风化",IF(ISNUMBER(SEARCH("严重风化点",A51)),"风化",S51))</x:f>
        <x:v>风化</x:v>
      </x:c>
      <x:c r="U51" s="36" t="n">
        <x:f>SUM(B51:O51)</x:f>
        <x:v>96.67</x:v>
      </x:c>
      <x:c r="V51" s="24" t="str">
        <x:f>IF(AND(U51&gt;=85,U51&lt;=105),"有效","无效")</x:f>
        <x:v>有效</x:v>
      </x:c>
      <x:c r="W51" s="24" t="n">
        <x:f>COUNTBLANK(B51:O51)+COUNTIF(B51:O51,0)</x:f>
        <x:v>4</x:v>
      </x:c>
      <x:c r="X51" s="37" t="n">
        <x:f>IF($V51="无效","",IF(B51="",0,B51/$U51*100))</x:f>
        <x:v>22.447501810282404</x:v>
      </x:c>
      <x:c r="Y51" s="37" t="n">
        <x:f>IF($V51="无效","",IF(C51="",0,C51/$U51*100))</x:f>
        <x:v>0</x:v>
      </x:c>
      <x:c r="Z51" s="37" t="n">
        <x:f>IF($V51="无效","",IF(D51="",0,D51/$U51*100))</x:f>
        <x:v>0</x:v>
      </x:c>
      <x:c r="AA51" s="37" t="n">
        <x:f>IF($V51="无效","",IF(E51="",0,E51/$U51*100))</x:f>
        <x:v>6.620461363401263</x:v>
      </x:c>
      <x:c r="AB51" s="37" t="n">
        <x:f>IF($V51="无效","",IF(F51="",0,F51/$U51*100))</x:f>
        <x:v>0.9827247336298748</x:v>
      </x:c>
      <x:c r="AC51" s="37" t="n">
        <x:f>IF($V51="无效","",IF(G51="",0,G51/$U51*100))</x:f>
        <x:v>3.5274645701872354</x:v>
      </x:c>
      <x:c r="AD51" s="37" t="n">
        <x:f>IF($V51="无效","",IF(H51="",0,H51/$U51*100))</x:f>
        <x:v>1.4378814523637116</x:v>
      </x:c>
      <x:c r="AE51" s="37" t="n">
        <x:f>IF($V51="无效","",IF(I51="",0,I51/$U51*100))</x:f>
        <x:v>1.5620151029274851</x:v>
      </x:c>
      <x:c r="AF51" s="37" t="n">
        <x:f>IF($V51="无效","",IF(J51="",0,J51/$U51*100))</x:f>
        <x:v>46.29150718940726</x:v>
      </x:c>
      <x:c r="AG51" s="37" t="n">
        <x:f>IF($V51="无效","",IF(K51="",0,K51/$U51*100))</x:f>
        <x:v>3.3722975069825174</x:v>
      </x:c>
      <x:c r="AH51" s="37" t="n">
        <x:f>IF($V51="无效","",IF(L51="",0,L51/$U51*100))</x:f>
        <x:v>13.271956139443466</x:v>
      </x:c>
      <x:c r="AI51" s="37" t="n">
        <x:f>IF($V51="无效","",IF(M51="",0,M51/$U51*100))</x:f>
        <x:v>0.4861901313747801</x:v>
      </x:c>
      <x:c r="AJ51" s="37" t="n">
        <x:f>IF($V51="无效","",IF(N51="",0,N51/$U51*100))</x:f>
        <x:v>0</x:v>
      </x:c>
      <x:c r="AK51" s="37" t="n">
        <x:f>IF($V51="无效","",IF(O51="",0,O51/$U51*100))</x:f>
        <x:v>0</x:v>
      </x:c>
      <x:c r="AL51" s="37" t="n">
        <x:f>IF(V51="有效",SUM(X51:AK51),"")</x:f>
        <x:v>100</x:v>
      </x:c>
    </x:row>
    <x:row r="52">
      <x:c r="A52" s="32" t="str">
        <x:v>44未风化点</x:v>
      </x:c>
      <x:c r="B52" s="33" t="n">
        <x:v>60.74</x:v>
      </x:c>
      <x:c r="C52" s="33" t="n">
        <x:v>3.06</x:v>
      </x:c>
      <x:c r="D52" s="33" t="n">
        <x:v>0.2</x:v>
      </x:c>
      <x:c r="E52" s="33" t="n">
        <x:v>2.14</x:v>
      </x:c>
      <x:c r="F52" s="33"/>
      <x:c r="G52" s="33" t="n">
        <x:v>12.69</x:v>
      </x:c>
      <x:c r="H52" s="33" t="n">
        <x:v>0.77</x:v>
      </x:c>
      <x:c r="I52" s="33" t="n">
        <x:v>0.43</x:v>
      </x:c>
      <x:c r="J52" s="33" t="n">
        <x:v>13.61</x:v>
      </x:c>
      <x:c r="K52" s="33" t="n">
        <x:v>5.22</x:v>
      </x:c>
      <x:c r="L52" s="33"/>
      <x:c r="M52" s="33" t="n">
        <x:v>0.26</x:v>
      </x:c>
      <x:c r="N52" s="33"/>
      <x:c r="O52" s="33"/>
      <x:c r="P52" s="38" t="str">
        <x:v>44</x:v>
      </x:c>
      <x:c r="Q52" s="24" t="str">
        <x:f>IF(ISNUMBER(SEARCH("未风化点",A52)),"未风化点",IF(ISNUMBER(SEARCH("严重风化点",A52)),"严重风化点",IF(ISNUMBER(SEARCH("部位",A52)),"不同部位","普通采样点")))</x:f>
        <x:v>未风化点</x:v>
      </x:c>
      <x:c r="R52" s="24" t="str">
        <x:f>VLOOKUP(P52,'表单1_清洗'!$A$2:$E$59,3,FALSE)</x:f>
        <x:v>铅钡</x:v>
      </x:c>
      <x:c r="S52" s="24" t="str">
        <x:f>VLOOKUP(P52,'表单1_清洗'!$A$2:$E$59,5,FALSE)</x:f>
        <x:v>风化</x:v>
      </x:c>
      <x:c r="T52" s="24" t="str">
        <x:f>IF(ISNUMBER(SEARCH("未风化点",A52)),"无风化",IF(ISNUMBER(SEARCH("严重风化点",A52)),"风化",S52))</x:f>
        <x:v>无风化</x:v>
      </x:c>
      <x:c r="U52" s="36" t="n">
        <x:f>SUM(B52:O52)</x:f>
        <x:v>99.12</x:v>
      </x:c>
      <x:c r="V52" s="24" t="str">
        <x:f>IF(AND(U52&gt;=85,U52&lt;=105),"有效","无效")</x:f>
        <x:v>有效</x:v>
      </x:c>
      <x:c r="W52" s="24" t="n">
        <x:f>COUNTBLANK(B52:O52)+COUNTIF(B52:O52,0)</x:f>
        <x:v>4</x:v>
      </x:c>
      <x:c r="X52" s="37" t="n">
        <x:f>IF($V52="无效","",IF(B52="",0,B52/$U52*100))</x:f>
        <x:v>61.279257465698144</x:v>
      </x:c>
      <x:c r="Y52" s="37" t="n">
        <x:f>IF($V52="无效","",IF(C52="",0,C52/$U52*100))</x:f>
        <x:v>3.0871670702179177</x:v>
      </x:c>
      <x:c r="Z52" s="37" t="n">
        <x:f>IF($V52="无效","",IF(D52="",0,D52/$U52*100))</x:f>
        <x:v>0.20177562550443903</x:v>
      </x:c>
      <x:c r="AA52" s="37" t="n">
        <x:f>IF($V52="无效","",IF(E52="",0,E52/$U52*100))</x:f>
        <x:v>2.158999192897498</x:v>
      </x:c>
      <x:c r="AB52" s="37" t="n">
        <x:f>IF($V52="无效","",IF(F52="",0,F52/$U52*100))</x:f>
        <x:v>0</x:v>
      </x:c>
      <x:c r="AC52" s="37" t="n">
        <x:f>IF($V52="无效","",IF(G52="",0,G52/$U52*100))</x:f>
        <x:v>12.802663438256657</x:v>
      </x:c>
      <x:c r="AD52" s="37" t="n">
        <x:f>IF($V52="无效","",IF(H52="",0,H52/$U52*100))</x:f>
        <x:v>0.7768361581920904</x:v>
      </x:c>
      <x:c r="AE52" s="37" t="n">
        <x:f>IF($V52="无效","",IF(I52="",0,I52/$U52*100))</x:f>
        <x:v>0.4338175948345439</x:v>
      </x:c>
      <x:c r="AF52" s="37" t="n">
        <x:f>IF($V52="无效","",IF(J52="",0,J52/$U52*100))</x:f>
        <x:v>13.730831315577078</x:v>
      </x:c>
      <x:c r="AG52" s="37" t="n">
        <x:f>IF($V52="无效","",IF(K52="",0,K52/$U52*100))</x:f>
        <x:v>5.266343825665859</x:v>
      </x:c>
      <x:c r="AH52" s="37" t="n">
        <x:f>IF($V52="无效","",IF(L52="",0,L52/$U52*100))</x:f>
        <x:v>0</x:v>
      </x:c>
      <x:c r="AI52" s="37" t="n">
        <x:f>IF($V52="无效","",IF(M52="",0,M52/$U52*100))</x:f>
        <x:v>0.2623083131557708</x:v>
      </x:c>
      <x:c r="AJ52" s="37" t="n">
        <x:f>IF($V52="无效","",IF(N52="",0,N52/$U52*100))</x:f>
        <x:v>0</x:v>
      </x:c>
      <x:c r="AK52" s="37" t="n">
        <x:f>IF($V52="无效","",IF(O52="",0,O52/$U52*100))</x:f>
        <x:v>0</x:v>
      </x:c>
      <x:c r="AL52" s="37" t="n">
        <x:f>IF(V52="有效",SUM(X52:AK52),"")</x:f>
        <x:v>100.00000000000001</x:v>
      </x:c>
    </x:row>
    <x:row r="53">
      <x:c r="A53" s="32" t="str">
        <x:v>45</x:v>
      </x:c>
      <x:c r="B53" s="33" t="n">
        <x:v>61.28</x:v>
      </x:c>
      <x:c r="C53" s="33" t="n">
        <x:v>2.66</x:v>
      </x:c>
      <x:c r="D53" s="33" t="n">
        <x:v>0.11</x:v>
      </x:c>
      <x:c r="E53" s="33" t="n">
        <x:v>0.84</x:v>
      </x:c>
      <x:c r="F53" s="33" t="n">
        <x:v>0.74</x:v>
      </x:c>
      <x:c r="G53" s="33" t="n">
        <x:v>5</x:v>
      </x:c>
      <x:c r="H53" s="33"/>
      <x:c r="I53" s="33" t="n">
        <x:v>0.53</x:v>
      </x:c>
      <x:c r="J53" s="33" t="n">
        <x:v>15.99</x:v>
      </x:c>
      <x:c r="K53" s="33" t="n">
        <x:v>10.96</x:v>
      </x:c>
      <x:c r="L53" s="33"/>
      <x:c r="M53" s="33" t="n">
        <x:v>0.23</x:v>
      </x:c>
      <x:c r="N53" s="33"/>
      <x:c r="O53" s="33"/>
      <x:c r="P53" s="38" t="str">
        <x:v>45</x:v>
      </x:c>
      <x:c r="Q53" s="24" t="str">
        <x:f>IF(ISNUMBER(SEARCH("未风化点",A53)),"未风化点",IF(ISNUMBER(SEARCH("严重风化点",A53)),"严重风化点",IF(ISNUMBER(SEARCH("部位",A53)),"不同部位","普通采样点")))</x:f>
        <x:v>普通采样点</x:v>
      </x:c>
      <x:c r="R53" s="24" t="str">
        <x:f>VLOOKUP(P53,'表单1_清洗'!$A$2:$E$59,3,FALSE)</x:f>
        <x:v>铅钡</x:v>
      </x:c>
      <x:c r="S53" s="24" t="str">
        <x:f>VLOOKUP(P53,'表单1_清洗'!$A$2:$E$59,5,FALSE)</x:f>
        <x:v>无风化</x:v>
      </x:c>
      <x:c r="T53" s="24" t="str">
        <x:f>IF(ISNUMBER(SEARCH("未风化点",A53)),"无风化",IF(ISNUMBER(SEARCH("严重风化点",A53)),"风化",S53))</x:f>
        <x:v>无风化</x:v>
      </x:c>
      <x:c r="U53" s="36" t="n">
        <x:f>SUM(B53:O53)</x:f>
        <x:v>98.33999999999999</x:v>
      </x:c>
      <x:c r="V53" s="24" t="str">
        <x:f>IF(AND(U53&gt;=85,U53&lt;=105),"有效","无效")</x:f>
        <x:v>有效</x:v>
      </x:c>
      <x:c r="W53" s="24" t="n">
        <x:f>COUNTBLANK(B53:O53)+COUNTIF(B53:O53,0)</x:f>
        <x:v>4</x:v>
      </x:c>
      <x:c r="X53" s="37" t="n">
        <x:f>IF($V53="无效","",IF(B53="",0,B53/$U53*100))</x:f>
        <x:v>62.31441936139923</x:v>
      </x:c>
      <x:c r="Y53" s="37" t="n">
        <x:f>IF($V53="无效","",IF(C53="",0,C53/$U53*100))</x:f>
        <x:v>2.7049013626194838</x:v>
      </x:c>
      <x:c r="Z53" s="37" t="n">
        <x:f>IF($V53="无效","",IF(D53="",0,D53/$U53*100))</x:f>
        <x:v>0.11185682326621926</x:v>
      </x:c>
      <x:c r="AA53" s="37" t="n">
        <x:f>IF($V53="无效","",IF(E53="",0,E53/$U53*100))</x:f>
        <x:v>0.8541793776693106</x:v>
      </x:c>
      <x:c r="AB53" s="37" t="n">
        <x:f>IF($V53="无效","",IF(F53="",0,F53/$U53*100))</x:f>
        <x:v>0.7524913565182022</x:v>
      </x:c>
      <x:c r="AC53" s="37" t="n">
        <x:f>IF($V53="无效","",IF(G53="",0,G53/$U53*100))</x:f>
        <x:v>5.084401057555421</x:v>
      </x:c>
      <x:c r="AD53" s="37" t="n">
        <x:f>IF($V53="无效","",IF(H53="",0,H53/$U53*100))</x:f>
        <x:v>0</x:v>
      </x:c>
      <x:c r="AE53" s="37" t="n">
        <x:f>IF($V53="无效","",IF(I53="",0,I53/$U53*100))</x:f>
        <x:v>0.5389465121008746</x:v>
      </x:c>
      <x:c r="AF53" s="37" t="n">
        <x:f>IF($V53="无效","",IF(J53="",0,J53/$U53*100))</x:f>
        <x:v>16.259914582062233</x:v>
      </x:c>
      <x:c r="AG53" s="37" t="n">
        <x:f>IF($V53="无效","",IF(K53="",0,K53/$U53*100))</x:f>
        <x:v>11.145007118161484</x:v>
      </x:c>
      <x:c r="AH53" s="37" t="n">
        <x:f>IF($V53="无效","",IF(L53="",0,L53/$U53*100))</x:f>
        <x:v>0</x:v>
      </x:c>
      <x:c r="AI53" s="37" t="n">
        <x:f>IF($V53="无效","",IF(M53="",0,M53/$U53*100))</x:f>
        <x:v>0.23388244864754934</x:v>
      </x:c>
      <x:c r="AJ53" s="37" t="n">
        <x:f>IF($V53="无效","",IF(N53="",0,N53/$U53*100))</x:f>
        <x:v>0</x:v>
      </x:c>
      <x:c r="AK53" s="37" t="n">
        <x:f>IF($V53="无效","",IF(O53="",0,O53/$U53*100))</x:f>
        <x:v>0</x:v>
      </x:c>
      <x:c r="AL53" s="37" t="n">
        <x:f>IF(V53="有效",SUM(X53:AK53),"")</x:f>
        <x:v>100.00000000000003</x:v>
      </x:c>
    </x:row>
    <x:row r="54">
      <x:c r="A54" s="32" t="str">
        <x:v>46</x:v>
      </x:c>
      <x:c r="B54" s="33" t="n">
        <x:v>55.21</x:v>
      </x:c>
      <x:c r="C54" s="33"/>
      <x:c r="D54" s="33" t="n">
        <x:v>0.25</x:v>
      </x:c>
      <x:c r="E54" s="33"/>
      <x:c r="F54" s="33" t="n">
        <x:v>1.67</x:v>
      </x:c>
      <x:c r="G54" s="33" t="n">
        <x:v>4.79</x:v>
      </x:c>
      <x:c r="H54" s="33"/>
      <x:c r="I54" s="33" t="n">
        <x:v>0.77</x:v>
      </x:c>
      <x:c r="J54" s="33" t="n">
        <x:v>25.25</x:v>
      </x:c>
      <x:c r="K54" s="33" t="n">
        <x:v>10.06</x:v>
      </x:c>
      <x:c r="L54" s="33" t="n">
        <x:v>0.2</x:v>
      </x:c>
      <x:c r="M54" s="33" t="n">
        <x:v>0.43</x:v>
      </x:c>
      <x:c r="N54" s="33"/>
      <x:c r="O54" s="33"/>
      <x:c r="P54" s="38" t="str">
        <x:v>46</x:v>
      </x:c>
      <x:c r="Q54" s="24" t="str">
        <x:f>IF(ISNUMBER(SEARCH("未风化点",A54)),"未风化点",IF(ISNUMBER(SEARCH("严重风化点",A54)),"严重风化点",IF(ISNUMBER(SEARCH("部位",A54)),"不同部位","普通采样点")))</x:f>
        <x:v>普通采样点</x:v>
      </x:c>
      <x:c r="R54" s="24" t="str">
        <x:f>VLOOKUP(P54,'表单1_清洗'!$A$2:$E$59,3,FALSE)</x:f>
        <x:v>铅钡</x:v>
      </x:c>
      <x:c r="S54" s="24" t="str">
        <x:f>VLOOKUP(P54,'表单1_清洗'!$A$2:$E$59,5,FALSE)</x:f>
        <x:v>无风化</x:v>
      </x:c>
      <x:c r="T54" s="24" t="str">
        <x:f>IF(ISNUMBER(SEARCH("未风化点",A54)),"无风化",IF(ISNUMBER(SEARCH("严重风化点",A54)),"风化",S54))</x:f>
        <x:v>无风化</x:v>
      </x:c>
      <x:c r="U54" s="36" t="n">
        <x:f>SUM(B54:O54)</x:f>
        <x:v>98.63000000000001</x:v>
      </x:c>
      <x:c r="V54" s="24" t="str">
        <x:f>IF(AND(U54&gt;=85,U54&lt;=105),"有效","无效")</x:f>
        <x:v>有效</x:v>
      </x:c>
      <x:c r="W54" s="24" t="n">
        <x:f>COUNTBLANK(B54:O54)+COUNTIF(B54:O54,0)</x:f>
        <x:v>5</x:v>
      </x:c>
      <x:c r="X54" s="37" t="n">
        <x:f>IF($V54="无效","",IF(B54="",0,B54/$U54*100))</x:f>
        <x:v>55.9768833012268</x:v>
      </x:c>
      <x:c r="Y54" s="37" t="n">
        <x:f>IF($V54="无效","",IF(C54="",0,C54/$U54*100))</x:f>
        <x:v>0</x:v>
      </x:c>
      <x:c r="Z54" s="37" t="n">
        <x:f>IF($V54="无效","",IF(D54="",0,D54/$U54*100))</x:f>
        <x:v>0.2534725742674643</x:v>
      </x:c>
      <x:c r="AA54" s="37" t="n">
        <x:f>IF($V54="无效","",IF(E54="",0,E54/$U54*100))</x:f>
        <x:v>0</x:v>
      </x:c>
      <x:c r="AB54" s="37" t="n">
        <x:f>IF($V54="无效","",IF(F54="",0,F54/$U54*100))</x:f>
        <x:v>1.6931967961066612</x:v>
      </x:c>
      <x:c r="AC54" s="37" t="n">
        <x:f>IF($V54="无效","",IF(G54="",0,G54/$U54*100))</x:f>
        <x:v>4.856534522964615</x:v>
      </x:c>
      <x:c r="AD54" s="37" t="n">
        <x:f>IF($V54="无效","",IF(H54="",0,H54/$U54*100))</x:f>
        <x:v>0</x:v>
      </x:c>
      <x:c r="AE54" s="37" t="n">
        <x:f>IF($V54="无效","",IF(I54="",0,I54/$U54*100))</x:f>
        <x:v>0.7806955287437899</x:v>
      </x:c>
      <x:c r="AF54" s="37" t="n">
        <x:f>IF($V54="无效","",IF(J54="",0,J54/$U54*100))</x:f>
        <x:v>25.60073000101389</x:v>
      </x:c>
      <x:c r="AG54" s="37" t="n">
        <x:f>IF($V54="无效","",IF(K54="",0,K54/$U54*100))</x:f>
        <x:v>10.19973638852276</x:v>
      </x:c>
      <x:c r="AH54" s="37" t="n">
        <x:f>IF($V54="无效","",IF(L54="",0,L54/$U54*100))</x:f>
        <x:v>0.2027780594139714</x:v>
      </x:c>
      <x:c r="AI54" s="37" t="n">
        <x:f>IF($V54="无效","",IF(M54="",0,M54/$U54*100))</x:f>
        <x:v>0.4359728277400385</x:v>
      </x:c>
      <x:c r="AJ54" s="37" t="n">
        <x:f>IF($V54="无效","",IF(N54="",0,N54/$U54*100))</x:f>
        <x:v>0</x:v>
      </x:c>
      <x:c r="AK54" s="37" t="n">
        <x:f>IF($V54="无效","",IF(O54="",0,O54/$U54*100))</x:f>
        <x:v>0</x:v>
      </x:c>
      <x:c r="AL54" s="37" t="n">
        <x:f>IF(V54="有效",SUM(X54:AK54),"")</x:f>
        <x:v>100</x:v>
      </x:c>
    </x:row>
    <x:row r="55">
      <x:c r="A55" s="32" t="str">
        <x:v>47</x:v>
      </x:c>
      <x:c r="B55" s="33" t="n">
        <x:v>51.54</x:v>
      </x:c>
      <x:c r="C55" s="33" t="n">
        <x:v>4.66</x:v>
      </x:c>
      <x:c r="D55" s="33" t="n">
        <x:v>0.29</x:v>
      </x:c>
      <x:c r="E55" s="33" t="n">
        <x:v>0.87</x:v>
      </x:c>
      <x:c r="F55" s="33" t="n">
        <x:v>0.61</x:v>
      </x:c>
      <x:c r="G55" s="33" t="n">
        <x:v>3.06</x:v>
      </x:c>
      <x:c r="H55" s="33"/>
      <x:c r="I55" s="33" t="n">
        <x:v>0.65</x:v>
      </x:c>
      <x:c r="J55" s="33" t="n">
        <x:v>25.4</x:v>
      </x:c>
      <x:c r="K55" s="33" t="n">
        <x:v>9.23</x:v>
      </x:c>
      <x:c r="L55" s="33" t="n">
        <x:v>0.1</x:v>
      </x:c>
      <x:c r="M55" s="33" t="n">
        <x:v>0.85</x:v>
      </x:c>
      <x:c r="N55" s="33"/>
      <x:c r="O55" s="33"/>
      <x:c r="P55" s="38" t="str">
        <x:v>47</x:v>
      </x:c>
      <x:c r="Q55" s="24" t="str">
        <x:f>IF(ISNUMBER(SEARCH("未风化点",A55)),"未风化点",IF(ISNUMBER(SEARCH("严重风化点",A55)),"严重风化点",IF(ISNUMBER(SEARCH("部位",A55)),"不同部位","普通采样点")))</x:f>
        <x:v>普通采样点</x:v>
      </x:c>
      <x:c r="R55" s="24" t="str">
        <x:f>VLOOKUP(P55,'表单1_清洗'!$A$2:$E$59,3,FALSE)</x:f>
        <x:v>铅钡</x:v>
      </x:c>
      <x:c r="S55" s="24" t="str">
        <x:f>VLOOKUP(P55,'表单1_清洗'!$A$2:$E$59,5,FALSE)</x:f>
        <x:v>无风化</x:v>
      </x:c>
      <x:c r="T55" s="24" t="str">
        <x:f>IF(ISNUMBER(SEARCH("未风化点",A55)),"无风化",IF(ISNUMBER(SEARCH("严重风化点",A55)),"风化",S55))</x:f>
        <x:v>无风化</x:v>
      </x:c>
      <x:c r="U55" s="36" t="n">
        <x:f>SUM(B55:O55)</x:f>
        <x:v>97.25999999999999</x:v>
      </x:c>
      <x:c r="V55" s="24" t="str">
        <x:f>IF(AND(U55&gt;=85,U55&lt;=105),"有效","无效")</x:f>
        <x:v>有效</x:v>
      </x:c>
      <x:c r="W55" s="24" t="n">
        <x:f>COUNTBLANK(B55:O55)+COUNTIF(B55:O55,0)</x:f>
        <x:v>3</x:v>
      </x:c>
      <x:c r="X55" s="37" t="n">
        <x:f>IF($V55="无效","",IF(B55="",0,B55/$U55*100))</x:f>
        <x:v>52.99198025909932</x:v>
      </x:c>
      <x:c r="Y55" s="37" t="n">
        <x:f>IF($V55="无效","",IF(C55="",0,C55/$U55*100))</x:f>
        <x:v>4.791281102200289</x:v>
      </x:c>
      <x:c r="Z55" s="37" t="n">
        <x:f>IF($V55="无效","",IF(D55="",0,D55/$U55*100))</x:f>
        <x:v>0.29816985399958873</x:v>
      </x:c>
      <x:c r="AA55" s="37" t="n">
        <x:f>IF($V55="无效","",IF(E55="",0,E55/$U55*100))</x:f>
        <x:v>0.8945095619987662</x:v>
      </x:c>
      <x:c r="AB55" s="37" t="n">
        <x:f>IF($V55="无效","",IF(F55="",0,F55/$U55*100))</x:f>
        <x:v>0.6271848653094798</x:v>
      </x:c>
      <x:c r="AC55" s="37" t="n">
        <x:f>IF($V55="无效","",IF(G55="",0,G55/$U55*100))</x:f>
        <x:v>3.146206045650833</x:v>
      </x:c>
      <x:c r="AD55" s="37" t="n">
        <x:f>IF($V55="无效","",IF(H55="",0,H55/$U55*100))</x:f>
        <x:v>0</x:v>
      </x:c>
      <x:c r="AE55" s="37" t="n">
        <x:f>IF($V55="无效","",IF(I55="",0,I55/$U55*100))</x:f>
        <x:v>0.6683117417232162</x:v>
      </x:c>
      <x:c r="AF55" s="37" t="n">
        <x:f>IF($V55="无效","",IF(J55="",0,J55/$U55*100))</x:f>
        <x:v>26.1155665227226</x:v>
      </x:c>
      <x:c r="AG55" s="37" t="n">
        <x:f>IF($V55="无效","",IF(K55="",0,K55/$U55*100))</x:f>
        <x:v>9.49002673246967</x:v>
      </x:c>
      <x:c r="AH55" s="37" t="n">
        <x:f>IF($V55="无效","",IF(L55="",0,L55/$U55*100))</x:f>
        <x:v>0.10281719103434096</x:v>
      </x:c>
      <x:c r="AI55" s="37" t="n">
        <x:f>IF($V55="无效","",IF(M55="",0,M55/$U55*100))</x:f>
        <x:v>0.873946123791898</x:v>
      </x:c>
      <x:c r="AJ55" s="37" t="n">
        <x:f>IF($V55="无效","",IF(N55="",0,N55/$U55*100))</x:f>
        <x:v>0</x:v>
      </x:c>
      <x:c r="AK55" s="37" t="n">
        <x:f>IF($V55="无效","",IF(O55="",0,O55/$U55*100))</x:f>
        <x:v>0</x:v>
      </x:c>
      <x:c r="AL55" s="37" t="n">
        <x:f>IF(V55="有效",SUM(X55:AK55),"")</x:f>
        <x:v>100.00000000000001</x:v>
      </x:c>
    </x:row>
    <x:row r="56">
      <x:c r="A56" s="32" t="str">
        <x:v>48</x:v>
      </x:c>
      <x:c r="B56" s="33" t="n">
        <x:v>53.33</x:v>
      </x:c>
      <x:c r="C56" s="33" t="n">
        <x:v>0.8</x:v>
      </x:c>
      <x:c r="D56" s="33" t="n">
        <x:v>0.32</x:v>
      </x:c>
      <x:c r="E56" s="33" t="n">
        <x:v>2.82</x:v>
      </x:c>
      <x:c r="F56" s="33" t="n">
        <x:v>1.54</x:v>
      </x:c>
      <x:c r="G56" s="33" t="n">
        <x:v>13.65</x:v>
      </x:c>
      <x:c r="H56" s="33" t="n">
        <x:v>1.03</x:v>
      </x:c>
      <x:c r="I56" s="33"/>
      <x:c r="J56" s="33" t="n">
        <x:v>15.71</x:v>
      </x:c>
      <x:c r="K56" s="33" t="n">
        <x:v>7.31</x:v>
      </x:c>
      <x:c r="L56" s="33" t="n">
        <x:v>1.1</x:v>
      </x:c>
      <x:c r="M56" s="33" t="n">
        <x:v>0.25</x:v>
      </x:c>
      <x:c r="N56" s="33" t="n">
        <x:v>1.31</x:v>
      </x:c>
      <x:c r="O56" s="33"/>
      <x:c r="P56" s="38" t="str">
        <x:v>48</x:v>
      </x:c>
      <x:c r="Q56" s="24" t="str">
        <x:f>IF(ISNUMBER(SEARCH("未风化点",A56)),"未风化点",IF(ISNUMBER(SEARCH("严重风化点",A56)),"严重风化点",IF(ISNUMBER(SEARCH("部位",A56)),"不同部位","普通采样点")))</x:f>
        <x:v>普通采样点</x:v>
      </x:c>
      <x:c r="R56" s="24" t="str">
        <x:f>VLOOKUP(P56,'表单1_清洗'!$A$2:$E$59,3,FALSE)</x:f>
        <x:v>铅钡</x:v>
      </x:c>
      <x:c r="S56" s="24" t="str">
        <x:f>VLOOKUP(P56,'表单1_清洗'!$A$2:$E$59,5,FALSE)</x:f>
        <x:v>风化</x:v>
      </x:c>
      <x:c r="T56" s="24" t="str">
        <x:f>IF(ISNUMBER(SEARCH("未风化点",A56)),"无风化",IF(ISNUMBER(SEARCH("严重风化点",A56)),"风化",S56))</x:f>
        <x:v>风化</x:v>
      </x:c>
      <x:c r="U56" s="36" t="n">
        <x:f>SUM(B56:O56)</x:f>
        <x:v>99.16999999999999</x:v>
      </x:c>
      <x:c r="V56" s="24" t="str">
        <x:f>IF(AND(U56&gt;=85,U56&lt;=105),"有效","无效")</x:f>
        <x:v>有效</x:v>
      </x:c>
      <x:c r="W56" s="24" t="n">
        <x:f>COUNTBLANK(B56:O56)+COUNTIF(B56:O56,0)</x:f>
        <x:v>2</x:v>
      </x:c>
      <x:c r="X56" s="37" t="n">
        <x:f>IF($V56="无效","",IF(B56="",0,B56/$U56*100))</x:f>
        <x:v>53.77634365231422</x:v>
      </x:c>
      <x:c r="Y56" s="37" t="n">
        <x:f>IF($V56="无效","",IF(C56="",0,C56/$U56*100))</x:f>
        <x:v>0.8066955732580419</x:v>
      </x:c>
      <x:c r="Z56" s="37" t="n">
        <x:f>IF($V56="无效","",IF(D56="",0,D56/$U56*100))</x:f>
        <x:v>0.32267822930321677</x:v>
      </x:c>
      <x:c r="AA56" s="37" t="n">
        <x:f>IF($V56="无效","",IF(E56="",0,E56/$U56*100))</x:f>
        <x:v>2.843601895734597</x:v>
      </x:c>
      <x:c r="AB56" s="37" t="n">
        <x:f>IF($V56="无效","",IF(F56="",0,F56/$U56*100))</x:f>
        <x:v>1.5528889785217306</x:v>
      </x:c>
      <x:c r="AC56" s="37" t="n">
        <x:f>IF($V56="无效","",IF(G56="",0,G56/$U56*100))</x:f>
        <x:v>13.764243218715338</x:v>
      </x:c>
      <x:c r="AD56" s="37" t="n">
        <x:f>IF($V56="无效","",IF(H56="",0,H56/$U56*100))</x:f>
        <x:v>1.0386205505697288</x:v>
      </x:c>
      <x:c r="AE56" s="37" t="n">
        <x:f>IF($V56="无效","",IF(I56="",0,I56/$U56*100))</x:f>
        <x:v>0</x:v>
      </x:c>
      <x:c r="AF56" s="37" t="n">
        <x:f>IF($V56="无效","",IF(J56="",0,J56/$U56*100))</x:f>
        <x:v>15.841484319854798</x:v>
      </x:c>
      <x:c r="AG56" s="37" t="n">
        <x:f>IF($V56="无效","",IF(K56="",0,K56/$U56*100))</x:f>
        <x:v>7.371180800645356</x:v>
      </x:c>
      <x:c r="AH56" s="37" t="n">
        <x:f>IF($V56="无效","",IF(L56="",0,L56/$U56*100))</x:f>
        <x:v>1.1092064132298076</x:v>
      </x:c>
      <x:c r="AI56" s="37" t="n">
        <x:f>IF($V56="无效","",IF(M56="",0,M56/$U56*100))</x:f>
        <x:v>0.25209236664313805</x:v>
      </x:c>
      <x:c r="AJ56" s="37" t="n">
        <x:f>IF($V56="无效","",IF(N56="",0,N56/$U56*100))</x:f>
        <x:v>1.3209640012100434</x:v>
      </x:c>
      <x:c r="AK56" s="37" t="n">
        <x:f>IF($V56="无效","",IF(O56="",0,O56/$U56*100))</x:f>
        <x:v>0</x:v>
      </x:c>
      <x:c r="AL56" s="37" t="n">
        <x:f>IF(V56="有效",SUM(X56:AK56),"")</x:f>
        <x:v>100.00000000000003</x:v>
      </x:c>
    </x:row>
    <x:row r="57">
      <x:c r="A57" s="32" t="str">
        <x:v>49</x:v>
      </x:c>
      <x:c r="B57" s="33" t="n">
        <x:v>28.79</x:v>
      </x:c>
      <x:c r="C57" s="33"/>
      <x:c r="D57" s="33"/>
      <x:c r="E57" s="33" t="n">
        <x:v>4.58</x:v>
      </x:c>
      <x:c r="F57" s="33" t="n">
        <x:v>1.47</x:v>
      </x:c>
      <x:c r="G57" s="33" t="n">
        <x:v>5.38</x:v>
      </x:c>
      <x:c r="H57" s="33" t="n">
        <x:v>2.74</x:v>
      </x:c>
      <x:c r="I57" s="33" t="n">
        <x:v>0.7</x:v>
      </x:c>
      <x:c r="J57" s="33" t="n">
        <x:v>34.18</x:v>
      </x:c>
      <x:c r="K57" s="33" t="n">
        <x:v>6.1</x:v>
      </x:c>
      <x:c r="L57" s="33" t="n">
        <x:v>11.1</x:v>
      </x:c>
      <x:c r="M57" s="33" t="n">
        <x:v>0.46</x:v>
      </x:c>
      <x:c r="N57" s="33"/>
      <x:c r="O57" s="33"/>
      <x:c r="P57" s="38" t="str">
        <x:v>49</x:v>
      </x:c>
      <x:c r="Q57" s="24" t="str">
        <x:f>IF(ISNUMBER(SEARCH("未风化点",A57)),"未风化点",IF(ISNUMBER(SEARCH("严重风化点",A57)),"严重风化点",IF(ISNUMBER(SEARCH("部位",A57)),"不同部位","普通采样点")))</x:f>
        <x:v>普通采样点</x:v>
      </x:c>
      <x:c r="R57" s="24" t="str">
        <x:f>VLOOKUP(P57,'表单1_清洗'!$A$2:$E$59,3,FALSE)</x:f>
        <x:v>铅钡</x:v>
      </x:c>
      <x:c r="S57" s="24" t="str">
        <x:f>VLOOKUP(P57,'表单1_清洗'!$A$2:$E$59,5,FALSE)</x:f>
        <x:v>风化</x:v>
      </x:c>
      <x:c r="T57" s="24" t="str">
        <x:f>IF(ISNUMBER(SEARCH("未风化点",A57)),"无风化",IF(ISNUMBER(SEARCH("严重风化点",A57)),"风化",S57))</x:f>
        <x:v>风化</x:v>
      </x:c>
      <x:c r="U57" s="36" t="n">
        <x:f>SUM(B57:O57)</x:f>
        <x:v>95.49999999999999</x:v>
      </x:c>
      <x:c r="V57" s="24" t="str">
        <x:f>IF(AND(U57&gt;=85,U57&lt;=105),"有效","无效")</x:f>
        <x:v>有效</x:v>
      </x:c>
      <x:c r="W57" s="24" t="n">
        <x:f>COUNTBLANK(B57:O57)+COUNTIF(B57:O57,0)</x:f>
        <x:v>4</x:v>
      </x:c>
      <x:c r="X57" s="37" t="n">
        <x:f>IF($V57="无效","",IF(B57="",0,B57/$U57*100))</x:f>
        <x:v>30.14659685863875</x:v>
      </x:c>
      <x:c r="Y57" s="37" t="n">
        <x:f>IF($V57="无效","",IF(C57="",0,C57/$U57*100))</x:f>
        <x:v>0</x:v>
      </x:c>
      <x:c r="Z57" s="37" t="n">
        <x:f>IF($V57="无效","",IF(D57="",0,D57/$U57*100))</x:f>
        <x:v>0</x:v>
      </x:c>
      <x:c r="AA57" s="37" t="n">
        <x:f>IF($V57="无效","",IF(E57="",0,E57/$U57*100))</x:f>
        <x:v>4.795811518324608</x:v>
      </x:c>
      <x:c r="AB57" s="37" t="n">
        <x:f>IF($V57="无效","",IF(F57="",0,F57/$U57*100))</x:f>
        <x:v>1.5392670157068065</x:v>
      </x:c>
      <x:c r="AC57" s="37" t="n">
        <x:f>IF($V57="无效","",IF(G57="",0,G57/$U57*100))</x:f>
        <x:v>5.633507853403142</x:v>
      </x:c>
      <x:c r="AD57" s="37" t="n">
        <x:f>IF($V57="无效","",IF(H57="",0,H57/$U57*100))</x:f>
        <x:v>2.8691099476439796</x:v>
      </x:c>
      <x:c r="AE57" s="37" t="n">
        <x:f>IF($V57="无效","",IF(I57="",0,I57/$U57*100))</x:f>
        <x:v>0.7329842931937174</x:v>
      </x:c>
      <x:c r="AF57" s="37" t="n">
        <x:f>IF($V57="无效","",IF(J57="",0,J57/$U57*100))</x:f>
        <x:v>35.790575916230374</x:v>
      </x:c>
      <x:c r="AG57" s="37" t="n">
        <x:f>IF($V57="无效","",IF(K57="",0,K57/$U57*100))</x:f>
        <x:v>6.387434554973822</x:v>
      </x:c>
      <x:c r="AH57" s="37" t="n">
        <x:f>IF($V57="无效","",IF(L57="",0,L57/$U57*100))</x:f>
        <x:v>11.623036649214662</x:v>
      </x:c>
      <x:c r="AI57" s="37" t="n">
        <x:f>IF($V57="无效","",IF(M57="",0,M57/$U57*100))</x:f>
        <x:v>0.48167539267015713</x:v>
      </x:c>
      <x:c r="AJ57" s="37" t="n">
        <x:f>IF($V57="无效","",IF(N57="",0,N57/$U57*100))</x:f>
        <x:v>0</x:v>
      </x:c>
      <x:c r="AK57" s="37" t="n">
        <x:f>IF($V57="无效","",IF(O57="",0,O57/$U57*100))</x:f>
        <x:v>0</x:v>
      </x:c>
      <x:c r="AL57" s="37" t="n">
        <x:f>IF(V57="有效",SUM(X57:AK57),"")</x:f>
        <x:v>100</x:v>
      </x:c>
    </x:row>
    <x:row r="58">
      <x:c r="A58" s="32" t="str">
        <x:v>49未风化点</x:v>
      </x:c>
      <x:c r="B58" s="33" t="n">
        <x:v>54.61</x:v>
      </x:c>
      <x:c r="C58" s="33"/>
      <x:c r="D58" s="33" t="n">
        <x:v>0.3</x:v>
      </x:c>
      <x:c r="E58" s="33" t="n">
        <x:v>2.08</x:v>
      </x:c>
      <x:c r="F58" s="33" t="n">
        <x:v>1.2</x:v>
      </x:c>
      <x:c r="G58" s="33" t="n">
        <x:v>6.5</x:v>
      </x:c>
      <x:c r="H58" s="33" t="n">
        <x:v>1.27</x:v>
      </x:c>
      <x:c r="I58" s="33" t="n">
        <x:v>0.45</x:v>
      </x:c>
      <x:c r="J58" s="33" t="n">
        <x:v>23.02</x:v>
      </x:c>
      <x:c r="K58" s="33" t="n">
        <x:v>4.19</x:v>
      </x:c>
      <x:c r="L58" s="33" t="n">
        <x:v>4.32</x:v>
      </x:c>
      <x:c r="M58" s="33" t="n">
        <x:v>0.3</x:v>
      </x:c>
      <x:c r="N58" s="33"/>
      <x:c r="O58" s="33"/>
      <x:c r="P58" s="38" t="str">
        <x:v>49</x:v>
      </x:c>
      <x:c r="Q58" s="24" t="str">
        <x:f>IF(ISNUMBER(SEARCH("未风化点",A58)),"未风化点",IF(ISNUMBER(SEARCH("严重风化点",A58)),"严重风化点",IF(ISNUMBER(SEARCH("部位",A58)),"不同部位","普通采样点")))</x:f>
        <x:v>未风化点</x:v>
      </x:c>
      <x:c r="R58" s="24" t="str">
        <x:f>VLOOKUP(P58,'表单1_清洗'!$A$2:$E$59,3,FALSE)</x:f>
        <x:v>铅钡</x:v>
      </x:c>
      <x:c r="S58" s="24" t="str">
        <x:f>VLOOKUP(P58,'表单1_清洗'!$A$2:$E$59,5,FALSE)</x:f>
        <x:v>风化</x:v>
      </x:c>
      <x:c r="T58" s="24" t="str">
        <x:f>IF(ISNUMBER(SEARCH("未风化点",A58)),"无风化",IF(ISNUMBER(SEARCH("严重风化点",A58)),"风化",S58))</x:f>
        <x:v>无风化</x:v>
      </x:c>
      <x:c r="U58" s="36" t="n">
        <x:f>SUM(B58:O58)</x:f>
        <x:v>98.24</x:v>
      </x:c>
      <x:c r="V58" s="24" t="str">
        <x:f>IF(AND(U58&gt;=85,U58&lt;=105),"有效","无效")</x:f>
        <x:v>有效</x:v>
      </x:c>
      <x:c r="W58" s="24" t="n">
        <x:f>COUNTBLANK(B58:O58)+COUNTIF(B58:O58,0)</x:f>
        <x:v>3</x:v>
      </x:c>
      <x:c r="X58" s="37" t="n">
        <x:f>IF($V58="无效","",IF(B58="",0,B58/$U58*100))</x:f>
        <x:v>55.58835504885994</x:v>
      </x:c>
      <x:c r="Y58" s="37" t="n">
        <x:f>IF($V58="无效","",IF(C58="",0,C58/$U58*100))</x:f>
        <x:v>0</x:v>
      </x:c>
      <x:c r="Z58" s="37" t="n">
        <x:f>IF($V58="无效","",IF(D58="",0,D58/$U58*100))</x:f>
        <x:v>0.30537459283387625</x:v>
      </x:c>
      <x:c r="AA58" s="37" t="n">
        <x:f>IF($V58="无效","",IF(E58="",0,E58/$U58*100))</x:f>
        <x:v>2.1172638436482085</x:v>
      </x:c>
      <x:c r="AB58" s="37" t="n">
        <x:f>IF($V58="无效","",IF(F58="",0,F58/$U58*100))</x:f>
        <x:v>1.221498371335505</x:v>
      </x:c>
      <x:c r="AC58" s="37" t="n">
        <x:f>IF($V58="无效","",IF(G58="",0,G58/$U58*100))</x:f>
        <x:v>6.616449511400652</x:v>
      </x:c>
      <x:c r="AD58" s="37" t="n">
        <x:f>IF($V58="无效","",IF(H58="",0,H58/$U58*100))</x:f>
        <x:v>1.2927524429967427</x:v>
      </x:c>
      <x:c r="AE58" s="37" t="n">
        <x:f>IF($V58="无效","",IF(I58="",0,I58/$U58*100))</x:f>
        <x:v>0.45806188925081437</x:v>
      </x:c>
      <x:c r="AF58" s="37" t="n">
        <x:f>IF($V58="无效","",IF(J58="",0,J58/$U58*100))</x:f>
        <x:v>23.432410423452772</x:v>
      </x:c>
      <x:c r="AG58" s="37" t="n">
        <x:f>IF($V58="无效","",IF(K58="",0,K58/$U58*100))</x:f>
        <x:v>4.265065146579805</x:v>
      </x:c>
      <x:c r="AH58" s="37" t="n">
        <x:f>IF($V58="无效","",IF(L58="",0,L58/$U58*100))</x:f>
        <x:v>4.397394136807818</x:v>
      </x:c>
      <x:c r="AI58" s="37" t="n">
        <x:f>IF($V58="无效","",IF(M58="",0,M58/$U58*100))</x:f>
        <x:v>0.30537459283387625</x:v>
      </x:c>
      <x:c r="AJ58" s="37" t="n">
        <x:f>IF($V58="无效","",IF(N58="",0,N58/$U58*100))</x:f>
        <x:v>0</x:v>
      </x:c>
      <x:c r="AK58" s="37" t="n">
        <x:f>IF($V58="无效","",IF(O58="",0,O58/$U58*100))</x:f>
        <x:v>0</x:v>
      </x:c>
      <x:c r="AL58" s="37" t="n">
        <x:f>IF(V58="有效",SUM(X58:AK58),"")</x:f>
        <x:v>100.00000000000001</x:v>
      </x:c>
    </x:row>
    <x:row r="59">
      <x:c r="A59" s="32" t="str">
        <x:v>50</x:v>
      </x:c>
      <x:c r="B59" s="33" t="n">
        <x:v>17.98</x:v>
      </x:c>
      <x:c r="C59" s="33"/>
      <x:c r="D59" s="33"/>
      <x:c r="E59" s="33" t="n">
        <x:v>3.19</x:v>
      </x:c>
      <x:c r="F59" s="33" t="n">
        <x:v>0.47</x:v>
      </x:c>
      <x:c r="G59" s="33" t="n">
        <x:v>1.87</x:v>
      </x:c>
      <x:c r="H59" s="33" t="n">
        <x:v>0.33</x:v>
      </x:c>
      <x:c r="I59" s="33" t="n">
        <x:v>1.13</x:v>
      </x:c>
      <x:c r="J59" s="33" t="n">
        <x:v>44</x:v>
      </x:c>
      <x:c r="K59" s="33" t="n">
        <x:v>14.2</x:v>
      </x:c>
      <x:c r="L59" s="33" t="n">
        <x:v>6.34</x:v>
      </x:c>
      <x:c r="M59" s="33" t="n">
        <x:v>0.66</x:v>
      </x:c>
      <x:c r="N59" s="33"/>
      <x:c r="O59" s="33"/>
      <x:c r="P59" s="38" t="str">
        <x:v>50</x:v>
      </x:c>
      <x:c r="Q59" s="24" t="str">
        <x:f>IF(ISNUMBER(SEARCH("未风化点",A59)),"未风化点",IF(ISNUMBER(SEARCH("严重风化点",A59)),"严重风化点",IF(ISNUMBER(SEARCH("部位",A59)),"不同部位","普通采样点")))</x:f>
        <x:v>普通采样点</x:v>
      </x:c>
      <x:c r="R59" s="24" t="str">
        <x:f>VLOOKUP(P59,'表单1_清洗'!$A$2:$E$59,3,FALSE)</x:f>
        <x:v>铅钡</x:v>
      </x:c>
      <x:c r="S59" s="24" t="str">
        <x:f>VLOOKUP(P59,'表单1_清洗'!$A$2:$E$59,5,FALSE)</x:f>
        <x:v>风化</x:v>
      </x:c>
      <x:c r="T59" s="24" t="str">
        <x:f>IF(ISNUMBER(SEARCH("未风化点",A59)),"无风化",IF(ISNUMBER(SEARCH("严重风化点",A59)),"风化",S59))</x:f>
        <x:v>风化</x:v>
      </x:c>
      <x:c r="U59" s="36" t="n">
        <x:f>SUM(B59:O59)</x:f>
        <x:v>90.17</x:v>
      </x:c>
      <x:c r="V59" s="24" t="str">
        <x:f>IF(AND(U59&gt;=85,U59&lt;=105),"有效","无效")</x:f>
        <x:v>有效</x:v>
      </x:c>
      <x:c r="W59" s="24" t="n">
        <x:f>COUNTBLANK(B59:O59)+COUNTIF(B59:O59,0)</x:f>
        <x:v>4</x:v>
      </x:c>
      <x:c r="X59" s="37" t="n">
        <x:f>IF($V59="无效","",IF(B59="",0,B59/$U59*100))</x:f>
        <x:v>19.940113119662858</x:v>
      </x:c>
      <x:c r="Y59" s="37" t="n">
        <x:f>IF($V59="无效","",IF(C59="",0,C59/$U59*100))</x:f>
        <x:v>0</x:v>
      </x:c>
      <x:c r="Z59" s="37" t="n">
        <x:f>IF($V59="无效","",IF(D59="",0,D59/$U59*100))</x:f>
        <x:v>0</x:v>
      </x:c>
      <x:c r="AA59" s="37" t="n">
        <x:f>IF($V59="无效","",IF(E59="",0,E59/$U59*100))</x:f>
        <x:v>3.5377620051014746</x:v>
      </x:c>
      <x:c r="AB59" s="37" t="n">
        <x:f>IF($V59="无效","",IF(F59="",0,F59/$U59*100))</x:f>
        <x:v>0.5212376621936342</x:v>
      </x:c>
      <x:c r="AC59" s="37" t="n">
        <x:f>IF($V59="无效","",IF(G59="",0,G59/$U59*100))</x:f>
        <x:v>2.0738604857491403</x:v>
      </x:c>
      <x:c r="AD59" s="37" t="n">
        <x:f>IF($V59="无效","",IF(H59="",0,H59/$U59*100))</x:f>
        <x:v>0.36597537983808365</x:v>
      </x:c>
      <x:c r="AE59" s="37" t="n">
        <x:f>IF($V59="无效","",IF(I59="",0,I59/$U59*100))</x:f>
        <x:v>1.2531884218698013</x:v>
      </x:c>
      <x:c r="AF59" s="37" t="n">
        <x:f>IF($V59="无效","",IF(J59="",0,J59/$U59*100))</x:f>
        <x:v>48.79671731174448</x:v>
      </x:c>
      <x:c r="AG59" s="37" t="n">
        <x:f>IF($V59="无效","",IF(K59="",0,K59/$U59*100))</x:f>
        <x:v>15.748031496062993</x:v>
      </x:c>
      <x:c r="AH59" s="37" t="n">
        <x:f>IF($V59="无效","",IF(L59="",0,L59/$U59*100))</x:f>
        <x:v>7.031163358101364</x:v>
      </x:c>
      <x:c r="AI59" s="37" t="n">
        <x:f>IF($V59="无效","",IF(M59="",0,M59/$U59*100))</x:f>
        <x:v>0.7319507596761673</x:v>
      </x:c>
      <x:c r="AJ59" s="37" t="n">
        <x:f>IF($V59="无效","",IF(N59="",0,N59/$U59*100))</x:f>
        <x:v>0</x:v>
      </x:c>
      <x:c r="AK59" s="37" t="n">
        <x:f>IF($V59="无效","",IF(O59="",0,O59/$U59*100))</x:f>
        <x:v>0</x:v>
      </x:c>
      <x:c r="AL59" s="37" t="n">
        <x:f>IF(V59="有效",SUM(X59:AK59),"")</x:f>
        <x:v>100</x:v>
      </x:c>
    </x:row>
    <x:row r="60">
      <x:c r="A60" s="32" t="str">
        <x:v>50未风化点</x:v>
      </x:c>
      <x:c r="B60" s="33" t="n">
        <x:v>45.02</x:v>
      </x:c>
      <x:c r="C60" s="33"/>
      <x:c r="D60" s="33"/>
      <x:c r="E60" s="33" t="n">
        <x:v>3.12</x:v>
      </x:c>
      <x:c r="F60" s="33" t="n">
        <x:v>0.54</x:v>
      </x:c>
      <x:c r="G60" s="33" t="n">
        <x:v>4.16</x:v>
      </x:c>
      <x:c r="H60" s="33"/>
      <x:c r="I60" s="33" t="n">
        <x:v>0.7</x:v>
      </x:c>
      <x:c r="J60" s="33" t="n">
        <x:v>30.61</x:v>
      </x:c>
      <x:c r="K60" s="33" t="n">
        <x:v>6.22</x:v>
      </x:c>
      <x:c r="L60" s="33" t="n">
        <x:v>6.34</x:v>
      </x:c>
      <x:c r="M60" s="33" t="n">
        <x:v>0.23</x:v>
      </x:c>
      <x:c r="N60" s="33"/>
      <x:c r="O60" s="33"/>
      <x:c r="P60" s="38" t="str">
        <x:v>50</x:v>
      </x:c>
      <x:c r="Q60" s="24" t="str">
        <x:f>IF(ISNUMBER(SEARCH("未风化点",A60)),"未风化点",IF(ISNUMBER(SEARCH("严重风化点",A60)),"严重风化点",IF(ISNUMBER(SEARCH("部位",A60)),"不同部位","普通采样点")))</x:f>
        <x:v>未风化点</x:v>
      </x:c>
      <x:c r="R60" s="24" t="str">
        <x:f>VLOOKUP(P60,'表单1_清洗'!$A$2:$E$59,3,FALSE)</x:f>
        <x:v>铅钡</x:v>
      </x:c>
      <x:c r="S60" s="24" t="str">
        <x:f>VLOOKUP(P60,'表单1_清洗'!$A$2:$E$59,5,FALSE)</x:f>
        <x:v>风化</x:v>
      </x:c>
      <x:c r="T60" s="24" t="str">
        <x:f>IF(ISNUMBER(SEARCH("未风化点",A60)),"无风化",IF(ISNUMBER(SEARCH("严重风化点",A60)),"风化",S60))</x:f>
        <x:v>无风化</x:v>
      </x:c>
      <x:c r="U60" s="36" t="n">
        <x:f>SUM(B60:O60)</x:f>
        <x:v>96.94000000000001</x:v>
      </x:c>
      <x:c r="V60" s="24" t="str">
        <x:f>IF(AND(U60&gt;=85,U60&lt;=105),"有效","无效")</x:f>
        <x:v>有效</x:v>
      </x:c>
      <x:c r="W60" s="24" t="n">
        <x:f>COUNTBLANK(B60:O60)+COUNTIF(B60:O60,0)</x:f>
        <x:v>5</x:v>
      </x:c>
      <x:c r="X60" s="37" t="n">
        <x:f>IF($V60="无效","",IF(B60="",0,B60/$U60*100))</x:f>
        <x:v>46.44109758613575</x:v>
      </x:c>
      <x:c r="Y60" s="37" t="n">
        <x:f>IF($V60="无效","",IF(C60="",0,C60/$U60*100))</x:f>
        <x:v>0</x:v>
      </x:c>
      <x:c r="Z60" s="37" t="n">
        <x:f>IF($V60="无效","",IF(D60="",0,D60/$U60*100))</x:f>
        <x:v>0</x:v>
      </x:c>
      <x:c r="AA60" s="37" t="n">
        <x:f>IF($V60="无效","",IF(E60="",0,E60/$U60*100))</x:f>
        <x:v>3.2184856612337525</x:v>
      </x:c>
      <x:c r="AB60" s="37" t="n">
        <x:f>IF($V60="无效","",IF(F60="",0,F60/$U60*100))</x:f>
        <x:v>0.5570455952135341</x:v>
      </x:c>
      <x:c r="AC60" s="37" t="n">
        <x:f>IF($V60="无效","",IF(G60="",0,G60/$U60*100))</x:f>
        <x:v>4.291314214978337</x:v>
      </x:c>
      <x:c r="AD60" s="37" t="n">
        <x:f>IF($V60="无效","",IF(H60="",0,H60/$U60*100))</x:f>
        <x:v>0</x:v>
      </x:c>
      <x:c r="AE60" s="37" t="n">
        <x:f>IF($V60="无效","",IF(I60="",0,I60/$U60*100))</x:f>
        <x:v>0.72209614194347</x:v>
      </x:c>
      <x:c r="AF60" s="37" t="n">
        <x:f>IF($V60="无效","",IF(J60="",0,J60/$U60*100))</x:f>
        <x:v>31.576232721270888</x:v>
      </x:c>
      <x:c r="AG60" s="37" t="n">
        <x:f>IF($V60="无效","",IF(K60="",0,K60/$U60*100))</x:f>
        <x:v>6.416340004126263</x:v>
      </x:c>
      <x:c r="AH60" s="37" t="n">
        <x:f>IF($V60="无效","",IF(L60="",0,L60/$U60*100))</x:f>
        <x:v>6.5401279141737145</x:v>
      </x:c>
      <x:c r="AI60" s="37" t="n">
        <x:f>IF($V60="无效","",IF(M60="",0,M60/$U60*100))</x:f>
        <x:v>0.23726016092428304</x:v>
      </x:c>
      <x:c r="AJ60" s="37" t="n">
        <x:f>IF($V60="无效","",IF(N60="",0,N60/$U60*100))</x:f>
        <x:v>0</x:v>
      </x:c>
      <x:c r="AK60" s="37" t="n">
        <x:f>IF($V60="无效","",IF(O60="",0,O60/$U60*100))</x:f>
        <x:v>0</x:v>
      </x:c>
      <x:c r="AL60" s="37" t="n">
        <x:f>IF(V60="有效",SUM(X60:AK60),"")</x:f>
        <x:v>99.99999999999999</x:v>
      </x:c>
    </x:row>
    <x:row r="61">
      <x:c r="A61" s="32" t="str">
        <x:v>51部位1</x:v>
      </x:c>
      <x:c r="B61" s="33" t="n">
        <x:v>24.61</x:v>
      </x:c>
      <x:c r="C61" s="33"/>
      <x:c r="D61" s="33"/>
      <x:c r="E61" s="33" t="n">
        <x:v>3.58</x:v>
      </x:c>
      <x:c r="F61" s="33" t="n">
        <x:v>1.19</x:v>
      </x:c>
      <x:c r="G61" s="33" t="n">
        <x:v>5.25</x:v>
      </x:c>
      <x:c r="H61" s="33" t="n">
        <x:v>1.19</x:v>
      </x:c>
      <x:c r="I61" s="33" t="n">
        <x:v>1.37</x:v>
      </x:c>
      <x:c r="J61" s="33" t="n">
        <x:v>40.24</x:v>
      </x:c>
      <x:c r="K61" s="33" t="n">
        <x:v>8.94</x:v>
      </x:c>
      <x:c r="L61" s="33" t="n">
        <x:v>8.1</x:v>
      </x:c>
      <x:c r="M61" s="33" t="n">
        <x:v>0.39</x:v>
      </x:c>
      <x:c r="N61" s="33" t="n">
        <x:v>0.47</x:v>
      </x:c>
      <x:c r="O61" s="33"/>
      <x:c r="P61" s="38" t="str">
        <x:v>51</x:v>
      </x:c>
      <x:c r="Q61" s="24" t="str">
        <x:f>IF(ISNUMBER(SEARCH("未风化点",A61)),"未风化点",IF(ISNUMBER(SEARCH("严重风化点",A61)),"严重风化点",IF(ISNUMBER(SEARCH("部位",A61)),"不同部位","普通采样点")))</x:f>
        <x:v>不同部位</x:v>
      </x:c>
      <x:c r="R61" s="24" t="str">
        <x:f>VLOOKUP(P61,'表单1_清洗'!$A$2:$E$59,3,FALSE)</x:f>
        <x:v>铅钡</x:v>
      </x:c>
      <x:c r="S61" s="24" t="str">
        <x:f>VLOOKUP(P61,'表单1_清洗'!$A$2:$E$59,5,FALSE)</x:f>
        <x:v>风化</x:v>
      </x:c>
      <x:c r="T61" s="24" t="str">
        <x:f>IF(ISNUMBER(SEARCH("未风化点",A61)),"无风化",IF(ISNUMBER(SEARCH("严重风化点",A61)),"风化",S61))</x:f>
        <x:v>风化</x:v>
      </x:c>
      <x:c r="U61" s="36" t="n">
        <x:f>SUM(B61:O61)</x:f>
        <x:v>95.32999999999998</x:v>
      </x:c>
      <x:c r="V61" s="24" t="str">
        <x:f>IF(AND(U61&gt;=85,U61&lt;=105),"有效","无效")</x:f>
        <x:v>有效</x:v>
      </x:c>
      <x:c r="W61" s="24" t="n">
        <x:f>COUNTBLANK(B61:O61)+COUNTIF(B61:O61,0)</x:f>
        <x:v>3</x:v>
      </x:c>
      <x:c r="X61" s="37" t="n">
        <x:f>IF($V61="无效","",IF(B61="",0,B61/$U61*100))</x:f>
        <x:v>25.8155879576209</x:v>
      </x:c>
      <x:c r="Y61" s="37" t="n">
        <x:f>IF($V61="无效","",IF(C61="",0,C61/$U61*100))</x:f>
        <x:v>0</x:v>
      </x:c>
      <x:c r="Z61" s="37" t="n">
        <x:f>IF($V61="无效","",IF(D61="",0,D61/$U61*100))</x:f>
        <x:v>0</x:v>
      </x:c>
      <x:c r="AA61" s="37" t="n">
        <x:f>IF($V61="无效","",IF(E61="",0,E61/$U61*100))</x:f>
        <x:v>3.7553760621000745</x:v>
      </x:c>
      <x:c r="AB61" s="37" t="n">
        <x:f>IF($V61="无效","",IF(F61="",0,F61/$U61*100))</x:f>
        <x:v>1.2482953949438793</x:v>
      </x:c>
      <x:c r="AC61" s="37" t="n">
        <x:f>IF($V61="无效","",IF(G61="",0,G61/$U61*100))</x:f>
        <x:v>5.5071855659288795</x:v>
      </x:c>
      <x:c r="AD61" s="37" t="n">
        <x:f>IF($V61="无效","",IF(H61="",0,H61/$U61*100))</x:f>
        <x:v>1.2482953949438793</x:v>
      </x:c>
      <x:c r="AE61" s="37" t="n">
        <x:f>IF($V61="无效","",IF(I61="",0,I61/$U61*100))</x:f>
        <x:v>1.4371131857757269</x:v>
      </x:c>
      <x:c r="AF61" s="37" t="n">
        <x:f>IF($V61="无效","",IF(J61="",0,J61/$U61*100))</x:f>
        <x:v>42.21126612818631</x:v>
      </x:c>
      <x:c r="AG61" s="37" t="n">
        <x:f>IF($V61="无效","",IF(K61="",0,K61/$U61*100))</x:f>
        <x:v>9.377950277981748</x:v>
      </x:c>
      <x:c r="AH61" s="37" t="n">
        <x:f>IF($V61="无效","",IF(L61="",0,L61/$U61*100))</x:f>
        <x:v>8.496800587433128</x:v>
      </x:c>
      <x:c r="AI61" s="37" t="n">
        <x:f>IF($V61="无效","",IF(M61="",0,M61/$U61*100))</x:f>
        <x:v>0.4091052134690025</x:v>
      </x:c>
      <x:c r="AJ61" s="37" t="n">
        <x:f>IF($V61="无效","",IF(N61="",0,N61/$U61*100))</x:f>
        <x:v>0.4930242316164901</x:v>
      </x:c>
      <x:c r="AK61" s="37" t="n">
        <x:f>IF($V61="无效","",IF(O61="",0,O61/$U61*100))</x:f>
        <x:v>0</x:v>
      </x:c>
      <x:c r="AL61" s="37" t="n">
        <x:f>IF(V61="有效",SUM(X61:AK61),"")</x:f>
        <x:v>100.00000000000003</x:v>
      </x:c>
    </x:row>
    <x:row r="62">
      <x:c r="A62" s="32" t="str">
        <x:v>51部位2</x:v>
      </x:c>
      <x:c r="B62" s="33" t="n">
        <x:v>21.35</x:v>
      </x:c>
      <x:c r="C62" s="33"/>
      <x:c r="D62" s="33"/>
      <x:c r="E62" s="33" t="n">
        <x:v>5.13</x:v>
      </x:c>
      <x:c r="F62" s="33" t="n">
        <x:v>1.45</x:v>
      </x:c>
      <x:c r="G62" s="33" t="n">
        <x:v>2.51</x:v>
      </x:c>
      <x:c r="H62" s="33" t="n">
        <x:v>0.42</x:v>
      </x:c>
      <x:c r="I62" s="33" t="n">
        <x:v>0.75</x:v>
      </x:c>
      <x:c r="J62" s="33" t="n">
        <x:v>51.34</x:v>
      </x:c>
      <x:c r="K62" s="33"/>
      <x:c r="L62" s="33" t="n">
        <x:v>8.75</x:v>
      </x:c>
      <x:c r="M62" s="33"/>
      <x:c r="N62" s="33"/>
      <x:c r="O62" s="33"/>
      <x:c r="P62" s="38" t="str">
        <x:v>51</x:v>
      </x:c>
      <x:c r="Q62" s="24" t="str">
        <x:f>IF(ISNUMBER(SEARCH("未风化点",A62)),"未风化点",IF(ISNUMBER(SEARCH("严重风化点",A62)),"严重风化点",IF(ISNUMBER(SEARCH("部位",A62)),"不同部位","普通采样点")))</x:f>
        <x:v>不同部位</x:v>
      </x:c>
      <x:c r="R62" s="24" t="str">
        <x:f>VLOOKUP(P62,'表单1_清洗'!$A$2:$E$59,3,FALSE)</x:f>
        <x:v>铅钡</x:v>
      </x:c>
      <x:c r="S62" s="24" t="str">
        <x:f>VLOOKUP(P62,'表单1_清洗'!$A$2:$E$59,5,FALSE)</x:f>
        <x:v>风化</x:v>
      </x:c>
      <x:c r="T62" s="24" t="str">
        <x:f>IF(ISNUMBER(SEARCH("未风化点",A62)),"无风化",IF(ISNUMBER(SEARCH("严重风化点",A62)),"风化",S62))</x:f>
        <x:v>风化</x:v>
      </x:c>
      <x:c r="U62" s="36" t="n">
        <x:f>SUM(B62:O62)</x:f>
        <x:v>91.7</x:v>
      </x:c>
      <x:c r="V62" s="24" t="str">
        <x:f>IF(AND(U62&gt;=85,U62&lt;=105),"有效","无效")</x:f>
        <x:v>有效</x:v>
      </x:c>
      <x:c r="W62" s="24" t="n">
        <x:f>COUNTBLANK(B62:O62)+COUNTIF(B62:O62,0)</x:f>
        <x:v>6</x:v>
      </x:c>
      <x:c r="X62" s="37" t="n">
        <x:f>IF($V62="无效","",IF(B62="",0,B62/$U62*100))</x:f>
        <x:v>23.282442748091604</x:v>
      </x:c>
      <x:c r="Y62" s="37" t="n">
        <x:f>IF($V62="无效","",IF(C62="",0,C62/$U62*100))</x:f>
        <x:v>0</x:v>
      </x:c>
      <x:c r="Z62" s="37" t="n">
        <x:f>IF($V62="无效","",IF(D62="",0,D62/$U62*100))</x:f>
        <x:v>0</x:v>
      </x:c>
      <x:c r="AA62" s="37" t="n">
        <x:f>IF($V62="无效","",IF(E62="",0,E62/$U62*100))</x:f>
        <x:v>5.59432933478735</x:v>
      </x:c>
      <x:c r="AB62" s="37" t="n">
        <x:f>IF($V62="无效","",IF(F62="",0,F62/$U62*100))</x:f>
        <x:v>1.5812431842966193</x:v>
      </x:c>
      <x:c r="AC62" s="37" t="n">
        <x:f>IF($V62="无效","",IF(G62="",0,G62/$U62*100))</x:f>
        <x:v>2.7371864776444923</x:v>
      </x:c>
      <x:c r="AD62" s="37" t="n">
        <x:f>IF($V62="无效","",IF(H62="",0,H62/$U62*100))</x:f>
        <x:v>0.45801526717557245</x:v>
      </x:c>
      <x:c r="AE62" s="37" t="n">
        <x:f>IF($V62="无效","",IF(I62="",0,I62/$U62*100))</x:f>
        <x:v>0.8178844056706652</x:v>
      </x:c>
      <x:c r="AF62" s="37" t="n">
        <x:f>IF($V62="无效","",IF(J62="",0,J62/$U62*100))</x:f>
        <x:v>55.986913849509264</x:v>
      </x:c>
      <x:c r="AG62" s="37" t="n">
        <x:f>IF($V62="无效","",IF(K62="",0,K62/$U62*100))</x:f>
        <x:v>0</x:v>
      </x:c>
      <x:c r="AH62" s="37" t="n">
        <x:f>IF($V62="无效","",IF(L62="",0,L62/$U62*100))</x:f>
        <x:v>9.541984732824426</x:v>
      </x:c>
      <x:c r="AI62" s="37" t="n">
        <x:f>IF($V62="无效","",IF(M62="",0,M62/$U62*100))</x:f>
        <x:v>0</x:v>
      </x:c>
      <x:c r="AJ62" s="37" t="n">
        <x:f>IF($V62="无效","",IF(N62="",0,N62/$U62*100))</x:f>
        <x:v>0</x:v>
      </x:c>
      <x:c r="AK62" s="37" t="n">
        <x:f>IF($V62="无效","",IF(O62="",0,O62/$U62*100))</x:f>
        <x:v>0</x:v>
      </x:c>
      <x:c r="AL62" s="37" t="n">
        <x:f>IF(V62="有效",SUM(X62:AK62),"")</x:f>
        <x:v>100</x:v>
      </x:c>
    </x:row>
    <x:row r="63">
      <x:c r="A63" s="32" t="str">
        <x:v>52</x:v>
      </x:c>
      <x:c r="B63" s="33" t="n">
        <x:v>25.74</x:v>
      </x:c>
      <x:c r="C63" s="33" t="n">
        <x:v>1.22</x:v>
      </x:c>
      <x:c r="D63" s="33"/>
      <x:c r="E63" s="33" t="n">
        <x:v>2.27</x:v>
      </x:c>
      <x:c r="F63" s="33" t="n">
        <x:v>0.55</x:v>
      </x:c>
      <x:c r="G63" s="33" t="n">
        <x:v>1.16</x:v>
      </x:c>
      <x:c r="H63" s="33" t="n">
        <x:v>0.23</x:v>
      </x:c>
      <x:c r="I63" s="33" t="n">
        <x:v>0.7</x:v>
      </x:c>
      <x:c r="J63" s="33" t="n">
        <x:v>47.42</x:v>
      </x:c>
      <x:c r="K63" s="33" t="n">
        <x:v>8.64</x:v>
      </x:c>
      <x:c r="L63" s="33" t="n">
        <x:v>5.71</x:v>
      </x:c>
      <x:c r="M63" s="33" t="n">
        <x:v>0.44</x:v>
      </x:c>
      <x:c r="N63" s="33"/>
      <x:c r="O63" s="33"/>
      <x:c r="P63" s="38" t="str">
        <x:v>52</x:v>
      </x:c>
      <x:c r="Q63" s="24" t="str">
        <x:f>IF(ISNUMBER(SEARCH("未风化点",A63)),"未风化点",IF(ISNUMBER(SEARCH("严重风化点",A63)),"严重风化点",IF(ISNUMBER(SEARCH("部位",A63)),"不同部位","普通采样点")))</x:f>
        <x:v>普通采样点</x:v>
      </x:c>
      <x:c r="R63" s="24" t="str">
        <x:f>VLOOKUP(P63,'表单1_清洗'!$A$2:$E$59,3,FALSE)</x:f>
        <x:v>铅钡</x:v>
      </x:c>
      <x:c r="S63" s="24" t="str">
        <x:f>VLOOKUP(P63,'表单1_清洗'!$A$2:$E$59,5,FALSE)</x:f>
        <x:v>风化</x:v>
      </x:c>
      <x:c r="T63" s="24" t="str">
        <x:f>IF(ISNUMBER(SEARCH("未风化点",A63)),"无风化",IF(ISNUMBER(SEARCH("严重风化点",A63)),"风化",S63))</x:f>
        <x:v>风化</x:v>
      </x:c>
      <x:c r="U63" s="36" t="n">
        <x:f>SUM(B63:O63)</x:f>
        <x:v>94.07999999999998</x:v>
      </x:c>
      <x:c r="V63" s="24" t="str">
        <x:f>IF(AND(U63&gt;=85,U63&lt;=105),"有效","无效")</x:f>
        <x:v>有效</x:v>
      </x:c>
      <x:c r="W63" s="24" t="n">
        <x:f>COUNTBLANK(B63:O63)+COUNTIF(B63:O63,0)</x:f>
        <x:v>3</x:v>
      </x:c>
      <x:c r="X63" s="37" t="n">
        <x:f>IF($V63="无效","",IF(B63="",0,B63/$U63*100))</x:f>
        <x:v>27.359693877551024</x:v>
      </x:c>
      <x:c r="Y63" s="37" t="n">
        <x:f>IF($V63="无效","",IF(C63="",0,C63/$U63*100))</x:f>
        <x:v>1.2967687074829934</x:v>
      </x:c>
      <x:c r="Z63" s="37" t="n">
        <x:f>IF($V63="无效","",IF(D63="",0,D63/$U63*100))</x:f>
        <x:v>0</x:v>
      </x:c>
      <x:c r="AA63" s="37" t="n">
        <x:f>IF($V63="无效","",IF(E63="",0,E63/$U63*100))</x:f>
        <x:v>2.4128401360544225</x:v>
      </x:c>
      <x:c r="AB63" s="37" t="n">
        <x:f>IF($V63="无效","",IF(F63="",0,F63/$U63*100))</x:f>
        <x:v>0.584608843537415</x:v>
      </x:c>
      <x:c r="AC63" s="37" t="n">
        <x:f>IF($V63="无效","",IF(G63="",0,G63/$U63*100))</x:f>
        <x:v>1.2329931972789117</x:v>
      </x:c>
      <x:c r="AD63" s="37" t="n">
        <x:f>IF($V63="无效","",IF(H63="",0,H63/$U63*100))</x:f>
        <x:v>0.24447278911564632</x:v>
      </x:c>
      <x:c r="AE63" s="37" t="n">
        <x:f>IF($V63="无效","",IF(I63="",0,I63/$U63*100))</x:f>
        <x:v>0.7440476190476191</x:v>
      </x:c>
      <x:c r="AF63" s="37" t="n">
        <x:f>IF($V63="无效","",IF(J63="",0,J63/$U63*100))</x:f>
        <x:v>50.40391156462586</x:v>
      </x:c>
      <x:c r="AG63" s="37" t="n">
        <x:f>IF($V63="无效","",IF(K63="",0,K63/$U63*100))</x:f>
        <x:v>9.183673469387758</x:v>
      </x:c>
      <x:c r="AH63" s="37" t="n">
        <x:f>IF($V63="无效","",IF(L63="",0,L63/$U63*100))</x:f>
        <x:v>6.0693027210884365</x:v>
      </x:c>
      <x:c r="AI63" s="37" t="n">
        <x:f>IF($V63="无效","",IF(M63="",0,M63/$U63*100))</x:f>
        <x:v>0.46768707482993205</x:v>
      </x:c>
      <x:c r="AJ63" s="37" t="n">
        <x:f>IF($V63="无效","",IF(N63="",0,N63/$U63*100))</x:f>
        <x:v>0</x:v>
      </x:c>
      <x:c r="AK63" s="37" t="n">
        <x:f>IF($V63="无效","",IF(O63="",0,O63/$U63*100))</x:f>
        <x:v>0</x:v>
      </x:c>
      <x:c r="AL63" s="37" t="n">
        <x:f>IF(V63="有效",SUM(X63:AK63),"")</x:f>
        <x:v>100</x:v>
      </x:c>
    </x:row>
    <x:row r="64">
      <x:c r="A64" s="32" t="str">
        <x:v>53未风化点</x:v>
      </x:c>
      <x:c r="B64" s="33" t="n">
        <x:v>63.66</x:v>
      </x:c>
      <x:c r="C64" s="33" t="n">
        <x:v>3.04</x:v>
      </x:c>
      <x:c r="D64" s="33" t="n">
        <x:v>0.11</x:v>
      </x:c>
      <x:c r="E64" s="33" t="n">
        <x:v>0.78</x:v>
      </x:c>
      <x:c r="F64" s="33" t="n">
        <x:v>1.14</x:v>
      </x:c>
      <x:c r="G64" s="33" t="n">
        <x:v>6.06</x:v>
      </x:c>
      <x:c r="H64" s="33"/>
      <x:c r="I64" s="33" t="n">
        <x:v>0.54</x:v>
      </x:c>
      <x:c r="J64" s="33" t="n">
        <x:v>13.66</x:v>
      </x:c>
      <x:c r="K64" s="33" t="n">
        <x:v>8.99</x:v>
      </x:c>
      <x:c r="L64" s="33"/>
      <x:c r="M64" s="33" t="n">
        <x:v>0.27</x:v>
      </x:c>
      <x:c r="N64" s="33"/>
      <x:c r="O64" s="33"/>
      <x:c r="P64" s="38" t="str">
        <x:v>53</x:v>
      </x:c>
      <x:c r="Q64" s="24" t="str">
        <x:f>IF(ISNUMBER(SEARCH("未风化点",A64)),"未风化点",IF(ISNUMBER(SEARCH("严重风化点",A64)),"严重风化点",IF(ISNUMBER(SEARCH("部位",A64)),"不同部位","普通采样点")))</x:f>
        <x:v>未风化点</x:v>
      </x:c>
      <x:c r="R64" s="24" t="str">
        <x:f>VLOOKUP(P64,'表单1_清洗'!$A$2:$E$59,3,FALSE)</x:f>
        <x:v>铅钡</x:v>
      </x:c>
      <x:c r="S64" s="24" t="str">
        <x:f>VLOOKUP(P64,'表单1_清洗'!$A$2:$E$59,5,FALSE)</x:f>
        <x:v>风化</x:v>
      </x:c>
      <x:c r="T64" s="24" t="str">
        <x:f>IF(ISNUMBER(SEARCH("未风化点",A64)),"无风化",IF(ISNUMBER(SEARCH("严重风化点",A64)),"风化",S64))</x:f>
        <x:v>无风化</x:v>
      </x:c>
      <x:c r="U64" s="36" t="n">
        <x:f>SUM(B64:O64)</x:f>
        <x:v>98.25</x:v>
      </x:c>
      <x:c r="V64" s="24" t="str">
        <x:f>IF(AND(U64&gt;=85,U64&lt;=105),"有效","无效")</x:f>
        <x:v>有效</x:v>
      </x:c>
      <x:c r="W64" s="24" t="n">
        <x:f>COUNTBLANK(B64:O64)+COUNTIF(B64:O64,0)</x:f>
        <x:v>4</x:v>
      </x:c>
      <x:c r="X64" s="37" t="n">
        <x:f>IF($V64="无效","",IF(B64="",0,B64/$U64*100))</x:f>
        <x:v>64.79389312977098</x:v>
      </x:c>
      <x:c r="Y64" s="37" t="n">
        <x:f>IF($V64="无效","",IF(C64="",0,C64/$U64*100))</x:f>
        <x:v>3.094147582697201</x:v>
      </x:c>
      <x:c r="Z64" s="37" t="n">
        <x:f>IF($V64="无效","",IF(D64="",0,D64/$U64*100))</x:f>
        <x:v>0.1119592875318066</x:v>
      </x:c>
      <x:c r="AA64" s="37" t="n">
        <x:f>IF($V64="无效","",IF(E64="",0,E64/$U64*100))</x:f>
        <x:v>0.7938931297709925</x:v>
      </x:c>
      <x:c r="AB64" s="37" t="n">
        <x:f>IF($V64="无效","",IF(F64="",0,F64/$U64*100))</x:f>
        <x:v>1.16030534351145</x:v>
      </x:c>
      <x:c r="AC64" s="37" t="n">
        <x:f>IF($V64="无效","",IF(G64="",0,G64/$U64*100))</x:f>
        <x:v>6.1679389312977095</x:v>
      </x:c>
      <x:c r="AD64" s="37" t="n">
        <x:f>IF($V64="无效","",IF(H64="",0,H64/$U64*100))</x:f>
        <x:v>0</x:v>
      </x:c>
      <x:c r="AE64" s="37" t="n">
        <x:f>IF($V64="无效","",IF(I64="",0,I64/$U64*100))</x:f>
        <x:v>0.549618320610687</x:v>
      </x:c>
      <x:c r="AF64" s="37" t="n">
        <x:f>IF($V64="无效","",IF(J64="",0,J64/$U64*100))</x:f>
        <x:v>13.903307888040711</x:v>
      </x:c>
      <x:c r="AG64" s="37" t="n">
        <x:f>IF($V64="无效","",IF(K64="",0,K64/$U64*100))</x:f>
        <x:v>9.150127226463106</x:v>
      </x:c>
      <x:c r="AH64" s="37" t="n">
        <x:f>IF($V64="无效","",IF(L64="",0,L64/$U64*100))</x:f>
        <x:v>0</x:v>
      </x:c>
      <x:c r="AI64" s="37" t="n">
        <x:f>IF($V64="无效","",IF(M64="",0,M64/$U64*100))</x:f>
        <x:v>0.2748091603053435</x:v>
      </x:c>
      <x:c r="AJ64" s="37" t="n">
        <x:f>IF($V64="无效","",IF(N64="",0,N64/$U64*100))</x:f>
        <x:v>0</x:v>
      </x:c>
      <x:c r="AK64" s="37" t="n">
        <x:f>IF($V64="无效","",IF(O64="",0,O64/$U64*100))</x:f>
        <x:v>0</x:v>
      </x:c>
      <x:c r="AL64" s="37" t="n">
        <x:f>IF(V64="有效",SUM(X64:AK64),"")</x:f>
        <x:v>99.99999999999999</x:v>
      </x:c>
    </x:row>
    <x:row r="65">
      <x:c r="A65" s="32" t="str">
        <x:v>54</x:v>
      </x:c>
      <x:c r="B65" s="33" t="n">
        <x:v>22.28</x:v>
      </x:c>
      <x:c r="C65" s="33"/>
      <x:c r="D65" s="33" t="n">
        <x:v>0.32</x:v>
      </x:c>
      <x:c r="E65" s="33" t="n">
        <x:v>3.19</x:v>
      </x:c>
      <x:c r="F65" s="33" t="n">
        <x:v>1.28</x:v>
      </x:c>
      <x:c r="G65" s="33" t="n">
        <x:v>4.15</x:v>
      </x:c>
      <x:c r="H65" s="33"/>
      <x:c r="I65" s="33" t="n">
        <x:v>0.83</x:v>
      </x:c>
      <x:c r="J65" s="33" t="n">
        <x:v>55.46</x:v>
      </x:c>
      <x:c r="K65" s="33" t="n">
        <x:v>7.04</x:v>
      </x:c>
      <x:c r="L65" s="33" t="n">
        <x:v>4.24</x:v>
      </x:c>
      <x:c r="M65" s="33" t="n">
        <x:v>0.88</x:v>
      </x:c>
      <x:c r="N65" s="33"/>
      <x:c r="O65" s="33"/>
      <x:c r="P65" s="38" t="str">
        <x:v>54</x:v>
      </x:c>
      <x:c r="Q65" s="24" t="str">
        <x:f>IF(ISNUMBER(SEARCH("未风化点",A65)),"未风化点",IF(ISNUMBER(SEARCH("严重风化点",A65)),"严重风化点",IF(ISNUMBER(SEARCH("部位",A65)),"不同部位","普通采样点")))</x:f>
        <x:v>普通采样点</x:v>
      </x:c>
      <x:c r="R65" s="24" t="str">
        <x:f>VLOOKUP(P65,'表单1_清洗'!$A$2:$E$59,3,FALSE)</x:f>
        <x:v>铅钡</x:v>
      </x:c>
      <x:c r="S65" s="24" t="str">
        <x:f>VLOOKUP(P65,'表单1_清洗'!$A$2:$E$59,5,FALSE)</x:f>
        <x:v>风化</x:v>
      </x:c>
      <x:c r="T65" s="24" t="str">
        <x:f>IF(ISNUMBER(SEARCH("未风化点",A65)),"无风化",IF(ISNUMBER(SEARCH("严重风化点",A65)),"风化",S65))</x:f>
        <x:v>风化</x:v>
      </x:c>
      <x:c r="U65" s="36" t="n">
        <x:f>SUM(B65:O65)</x:f>
        <x:v>99.67</x:v>
      </x:c>
      <x:c r="V65" s="24" t="str">
        <x:f>IF(AND(U65&gt;=85,U65&lt;=105),"有效","无效")</x:f>
        <x:v>有效</x:v>
      </x:c>
      <x:c r="W65" s="24" t="n">
        <x:f>COUNTBLANK(B65:O65)+COUNTIF(B65:O65,0)</x:f>
        <x:v>4</x:v>
      </x:c>
      <x:c r="X65" s="37" t="n">
        <x:f>IF($V65="无效","",IF(B65="",0,B65/$U65*100))</x:f>
        <x:v>22.35376743252734</x:v>
      </x:c>
      <x:c r="Y65" s="37" t="n">
        <x:f>IF($V65="无效","",IF(C65="",0,C65/$U65*100))</x:f>
        <x:v>0</x:v>
      </x:c>
      <x:c r="Z65" s="37" t="n">
        <x:f>IF($V65="无效","",IF(D65="",0,D65/$U65*100))</x:f>
        <x:v>0.32105949633791514</x:v>
      </x:c>
      <x:c r="AA65" s="37" t="n">
        <x:f>IF($V65="无效","",IF(E65="",0,E65/$U65*100))</x:f>
        <x:v>3.2005618541185914</x:v>
      </x:c>
      <x:c r="AB65" s="37" t="n">
        <x:f>IF($V65="无效","",IF(F65="",0,F65/$U65*100))</x:f>
        <x:v>1.2842379853516606</x:v>
      </x:c>
      <x:c r="AC65" s="37" t="n">
        <x:f>IF($V65="无效","",IF(G65="",0,G65/$U65*100))</x:f>
        <x:v>4.1637403431323365</x:v>
      </x:c>
      <x:c r="AD65" s="37" t="n">
        <x:f>IF($V65="无效","",IF(H65="",0,H65/$U65*100))</x:f>
        <x:v>0</x:v>
      </x:c>
      <x:c r="AE65" s="37" t="n">
        <x:f>IF($V65="无效","",IF(I65="",0,I65/$U65*100))</x:f>
        <x:v>0.8327480686264673</x:v>
      </x:c>
      <x:c r="AF65" s="37" t="n">
        <x:f>IF($V65="无效","",IF(J65="",0,J65/$U65*100))</x:f>
        <x:v>55.64362395906491</x:v>
      </x:c>
      <x:c r="AG65" s="37" t="n">
        <x:f>IF($V65="无效","",IF(K65="",0,K65/$U65*100))</x:f>
        <x:v>7.063308919434133</x:v>
      </x:c>
      <x:c r="AH65" s="37" t="n">
        <x:f>IF($V65="无效","",IF(L65="",0,L65/$U65*100))</x:f>
        <x:v>4.254038326477375</x:v>
      </x:c>
      <x:c r="AI65" s="37" t="n">
        <x:f>IF($V65="无效","",IF(M65="",0,M65/$U65*100))</x:f>
        <x:v>0.8829136149292667</x:v>
      </x:c>
      <x:c r="AJ65" s="37" t="n">
        <x:f>IF($V65="无效","",IF(N65="",0,N65/$U65*100))</x:f>
        <x:v>0</x:v>
      </x:c>
      <x:c r="AK65" s="37" t="n">
        <x:f>IF($V65="无效","",IF(O65="",0,O65/$U65*100))</x:f>
        <x:v>0</x:v>
      </x:c>
      <x:c r="AL65" s="37" t="n">
        <x:f>IF(V65="有效",SUM(X65:AK65),"")</x:f>
        <x:v>99.99999999999999</x:v>
      </x:c>
    </x:row>
    <x:row r="66">
      <x:c r="A66" s="32" t="str">
        <x:v>54严重风化点</x:v>
      </x:c>
      <x:c r="B66" s="33" t="n">
        <x:v>17.11</x:v>
      </x:c>
      <x:c r="C66" s="33"/>
      <x:c r="D66" s="33"/>
      <x:c r="E66" s="33"/>
      <x:c r="F66" s="33" t="n">
        <x:v>1.11</x:v>
      </x:c>
      <x:c r="G66" s="33" t="n">
        <x:v>3.65</x:v>
      </x:c>
      <x:c r="H66" s="33"/>
      <x:c r="I66" s="33" t="n">
        <x:v>1.34</x:v>
      </x:c>
      <x:c r="J66" s="33" t="n">
        <x:v>58.46</x:v>
      </x:c>
      <x:c r="K66" s="33"/>
      <x:c r="L66" s="33" t="n">
        <x:v>14.13</x:v>
      </x:c>
      <x:c r="M66" s="33" t="n">
        <x:v>1.12</x:v>
      </x:c>
      <x:c r="N66" s="33"/>
      <x:c r="O66" s="33"/>
      <x:c r="P66" s="38" t="str">
        <x:v>54</x:v>
      </x:c>
      <x:c r="Q66" s="24" t="str">
        <x:f>IF(ISNUMBER(SEARCH("未风化点",A66)),"未风化点",IF(ISNUMBER(SEARCH("严重风化点",A66)),"严重风化点",IF(ISNUMBER(SEARCH("部位",A66)),"不同部位","普通采样点")))</x:f>
        <x:v>严重风化点</x:v>
      </x:c>
      <x:c r="R66" s="24" t="str">
        <x:f>VLOOKUP(P66,'表单1_清洗'!$A$2:$E$59,3,FALSE)</x:f>
        <x:v>铅钡</x:v>
      </x:c>
      <x:c r="S66" s="24" t="str">
        <x:f>VLOOKUP(P66,'表单1_清洗'!$A$2:$E$59,5,FALSE)</x:f>
        <x:v>风化</x:v>
      </x:c>
      <x:c r="T66" s="24" t="str">
        <x:f>IF(ISNUMBER(SEARCH("未风化点",A66)),"无风化",IF(ISNUMBER(SEARCH("严重风化点",A66)),"风化",S66))</x:f>
        <x:v>风化</x:v>
      </x:c>
      <x:c r="U66" s="36" t="n">
        <x:f>SUM(B66:O66)</x:f>
        <x:v>96.92</x:v>
      </x:c>
      <x:c r="V66" s="24" t="str">
        <x:f>IF(AND(U66&gt;=85,U66&lt;=105),"有效","无效")</x:f>
        <x:v>有效</x:v>
      </x:c>
      <x:c r="W66" s="24" t="n">
        <x:f>COUNTBLANK(B66:O66)+COUNTIF(B66:O66,0)</x:f>
        <x:v>7</x:v>
      </x:c>
      <x:c r="X66" s="37" t="n">
        <x:f>IF($V66="无效","",IF(B66="",0,B66/$U66*100))</x:f>
        <x:v>17.653735039207593</x:v>
      </x:c>
      <x:c r="Y66" s="37" t="n">
        <x:f>IF($V66="无效","",IF(C66="",0,C66/$U66*100))</x:f>
        <x:v>0</x:v>
      </x:c>
      <x:c r="Z66" s="37" t="n">
        <x:f>IF($V66="无效","",IF(D66="",0,D66/$U66*100))</x:f>
        <x:v>0</x:v>
      </x:c>
      <x:c r="AA66" s="37" t="n">
        <x:f>IF($V66="无效","",IF(E66="",0,E66/$U66*100))</x:f>
        <x:v>0</x:v>
      </x:c>
      <x:c r="AB66" s="37" t="n">
        <x:f>IF($V66="无效","",IF(F66="",0,F66/$U66*100))</x:f>
        <x:v>1.1452744531572432</x:v>
      </x:c>
      <x:c r="AC66" s="37" t="n">
        <x:f>IF($V66="无效","",IF(G66="",0,G66/$U66*100))</x:f>
        <x:v>3.765992571192736</x:v>
      </x:c>
      <x:c r="AD66" s="37" t="n">
        <x:f>IF($V66="无效","",IF(H66="",0,H66/$U66*100))</x:f>
        <x:v>0</x:v>
      </x:c>
      <x:c r="AE66" s="37" t="n">
        <x:f>IF($V66="无效","",IF(I66="",0,I66/$U66*100))</x:f>
        <x:v>1.382583574081717</x:v>
      </x:c>
      <x:c r="AF66" s="37" t="n">
        <x:f>IF($V66="无效","",IF(J66="",0,J66/$U66*100))</x:f>
        <x:v>60.31778786628147</x:v>
      </x:c>
      <x:c r="AG66" s="37" t="n">
        <x:f>IF($V66="无效","",IF(K66="",0,K66/$U66*100))</x:f>
        <x:v>0</x:v>
      </x:c>
      <x:c r="AH66" s="37" t="n">
        <x:f>IF($V66="无效","",IF(L66="",0,L66/$U66*100))</x:f>
        <x:v>14.579034255055717</x:v>
      </x:c>
      <x:c r="AI66" s="37" t="n">
        <x:f>IF($V66="无效","",IF(M66="",0,M66/$U66*100))</x:f>
        <x:v>1.1555922410235246</x:v>
      </x:c>
      <x:c r="AJ66" s="37" t="n">
        <x:f>IF($V66="无效","",IF(N66="",0,N66/$U66*100))</x:f>
        <x:v>0</x:v>
      </x:c>
      <x:c r="AK66" s="37" t="n">
        <x:f>IF($V66="无效","",IF(O66="",0,O66/$U66*100))</x:f>
        <x:v>0</x:v>
      </x:c>
      <x:c r="AL66" s="37" t="n">
        <x:f>IF(V66="有效",SUM(X66:AK66),"")</x:f>
        <x:v>100</x:v>
      </x:c>
    </x:row>
    <x:row r="67">
      <x:c r="A67" s="32" t="str">
        <x:v>55</x:v>
      </x:c>
      <x:c r="B67" s="33" t="n">
        <x:v>49.01</x:v>
      </x:c>
      <x:c r="C67" s="33" t="n">
        <x:v>2.71</x:v>
      </x:c>
      <x:c r="D67" s="33"/>
      <x:c r="E67" s="33" t="n">
        <x:v>1.13</x:v>
      </x:c>
      <x:c r="F67" s="33"/>
      <x:c r="G67" s="33" t="n">
        <x:v>1.45</x:v>
      </x:c>
      <x:c r="H67" s="33"/>
      <x:c r="I67" s="33" t="n">
        <x:v>0.86</x:v>
      </x:c>
      <x:c r="J67" s="33" t="n">
        <x:v>32.92</x:v>
      </x:c>
      <x:c r="K67" s="33" t="n">
        <x:v>7.95</x:v>
      </x:c>
      <x:c r="L67" s="33" t="n">
        <x:v>0.35</x:v>
      </x:c>
      <x:c r="M67" s="33"/>
      <x:c r="N67" s="33"/>
      <x:c r="O67" s="33"/>
      <x:c r="P67" s="38" t="str">
        <x:v>55</x:v>
      </x:c>
      <x:c r="Q67" s="24" t="str">
        <x:f>IF(ISNUMBER(SEARCH("未风化点",A67)),"未风化点",IF(ISNUMBER(SEARCH("严重风化点",A67)),"严重风化点",IF(ISNUMBER(SEARCH("部位",A67)),"不同部位","普通采样点")))</x:f>
        <x:v>普通采样点</x:v>
      </x:c>
      <x:c r="R67" s="24" t="str">
        <x:f>VLOOKUP(P67,'表单1_清洗'!$A$2:$E$59,3,FALSE)</x:f>
        <x:v>铅钡</x:v>
      </x:c>
      <x:c r="S67" s="24" t="str">
        <x:f>VLOOKUP(P67,'表单1_清洗'!$A$2:$E$59,5,FALSE)</x:f>
        <x:v>无风化</x:v>
      </x:c>
      <x:c r="T67" s="24" t="str">
        <x:f>IF(ISNUMBER(SEARCH("未风化点",A67)),"无风化",IF(ISNUMBER(SEARCH("严重风化点",A67)),"风化",S67))</x:f>
        <x:v>无风化</x:v>
      </x:c>
      <x:c r="U67" s="36" t="n">
        <x:f>SUM(B67:O67)</x:f>
        <x:v>96.38000000000001</x:v>
      </x:c>
      <x:c r="V67" s="24" t="str">
        <x:f>IF(AND(U67&gt;=85,U67&lt;=105),"有效","无效")</x:f>
        <x:v>有效</x:v>
      </x:c>
      <x:c r="W67" s="24" t="n">
        <x:f>COUNTBLANK(B67:O67)+COUNTIF(B67:O67,0)</x:f>
        <x:v>6</x:v>
      </x:c>
      <x:c r="X67" s="37" t="n">
        <x:f>IF($V67="无效","",IF(B67="",0,B67/$U67*100))</x:f>
        <x:v>50.85079892093795</x:v>
      </x:c>
      <x:c r="Y67" s="37" t="n">
        <x:f>IF($V67="无效","",IF(C67="",0,C67/$U67*100))</x:f>
        <x:v>2.8117866777339695</x:v>
      </x:c>
      <x:c r="Z67" s="37" t="n">
        <x:f>IF($V67="无效","",IF(D67="",0,D67/$U67*100))</x:f>
        <x:v>0</x:v>
      </x:c>
      <x:c r="AA67" s="37" t="n">
        <x:f>IF($V67="无效","",IF(E67="",0,E67/$U67*100))</x:f>
        <x:v>1.1724424154388875</x:v>
      </x:c>
      <x:c r="AB67" s="37" t="n">
        <x:f>IF($V67="无效","",IF(F67="",0,F67/$U67*100))</x:f>
        <x:v>0</x:v>
      </x:c>
      <x:c r="AC67" s="37" t="n">
        <x:f>IF($V67="无效","",IF(G67="",0,G67/$U67*100))</x:f>
        <x:v>1.5044615065366256</x:v>
      </x:c>
      <x:c r="AD67" s="37" t="n">
        <x:f>IF($V67="无效","",IF(H67="",0,H67/$U67*100))</x:f>
        <x:v>0</x:v>
      </x:c>
      <x:c r="AE67" s="37" t="n">
        <x:f>IF($V67="无效","",IF(I67="",0,I67/$U67*100))</x:f>
        <x:v>0.8923013073251711</x:v>
      </x:c>
      <x:c r="AF67" s="37" t="n">
        <x:f>IF($V67="无效","",IF(J67="",0,J67/$U67*100))</x:f>
        <x:v>34.15646399667981</x:v>
      </x:c>
      <x:c r="AG67" s="37" t="n">
        <x:f>IF($V67="无效","",IF(K67="",0,K67/$U67*100))</x:f>
        <x:v>8.248599294459432</x:v>
      </x:c>
      <x:c r="AH67" s="37" t="n">
        <x:f>IF($V67="无效","",IF(L67="",0,L67/$U67*100))</x:f>
        <x:v>0.36314588088815103</x:v>
      </x:c>
      <x:c r="AI67" s="37" t="n">
        <x:f>IF($V67="无效","",IF(M67="",0,M67/$U67*100))</x:f>
        <x:v>0</x:v>
      </x:c>
      <x:c r="AJ67" s="37" t="n">
        <x:f>IF($V67="无效","",IF(N67="",0,N67/$U67*100))</x:f>
        <x:v>0</x:v>
      </x:c>
      <x:c r="AK67" s="37" t="n">
        <x:f>IF($V67="无效","",IF(O67="",0,O67/$U67*100))</x:f>
        <x:v>0</x:v>
      </x:c>
      <x:c r="AL67" s="37" t="n">
        <x:f>IF(V67="有效",SUM(X67:AK67),"")</x:f>
        <x:v>100.00000000000001</x:v>
      </x:c>
    </x:row>
    <x:row r="68">
      <x:c r="A68" s="32" t="str">
        <x:v>56</x:v>
      </x:c>
      <x:c r="B68" s="33" t="n">
        <x:v>29.15</x:v>
      </x:c>
      <x:c r="C68" s="33"/>
      <x:c r="D68" s="33"/>
      <x:c r="E68" s="33" t="n">
        <x:v>1.21</x:v>
      </x:c>
      <x:c r="F68" s="33"/>
      <x:c r="G68" s="33" t="n">
        <x:v>1.85</x:v>
      </x:c>
      <x:c r="H68" s="33"/>
      <x:c r="I68" s="33" t="n">
        <x:v>0.79</x:v>
      </x:c>
      <x:c r="J68" s="33" t="n">
        <x:v>41.25</x:v>
      </x:c>
      <x:c r="K68" s="33" t="n">
        <x:v>15.45</x:v>
      </x:c>
      <x:c r="L68" s="33" t="n">
        <x:v>2.54</x:v>
      </x:c>
      <x:c r="M68" s="33"/>
      <x:c r="N68" s="33"/>
      <x:c r="O68" s="33"/>
      <x:c r="P68" s="38" t="str">
        <x:v>56</x:v>
      </x:c>
      <x:c r="Q68" s="24" t="str">
        <x:f>IF(ISNUMBER(SEARCH("未风化点",A68)),"未风化点",IF(ISNUMBER(SEARCH("严重风化点",A68)),"严重风化点",IF(ISNUMBER(SEARCH("部位",A68)),"不同部位","普通采样点")))</x:f>
        <x:v>普通采样点</x:v>
      </x:c>
      <x:c r="R68" s="24" t="str">
        <x:f>VLOOKUP(P68,'表单1_清洗'!$A$2:$E$59,3,FALSE)</x:f>
        <x:v>铅钡</x:v>
      </x:c>
      <x:c r="S68" s="24" t="str">
        <x:f>VLOOKUP(P68,'表单1_清洗'!$A$2:$E$59,5,FALSE)</x:f>
        <x:v>风化</x:v>
      </x:c>
      <x:c r="T68" s="24" t="str">
        <x:f>IF(ISNUMBER(SEARCH("未风化点",A68)),"无风化",IF(ISNUMBER(SEARCH("严重风化点",A68)),"风化",S68))</x:f>
        <x:v>风化</x:v>
      </x:c>
      <x:c r="U68" s="36" t="n">
        <x:f>SUM(B68:O68)</x:f>
        <x:v>92.24000000000001</x:v>
      </x:c>
      <x:c r="V68" s="24" t="str">
        <x:f>IF(AND(U68&gt;=85,U68&lt;=105),"有效","无效")</x:f>
        <x:v>有效</x:v>
      </x:c>
      <x:c r="W68" s="24" t="n">
        <x:f>COUNTBLANK(B68:O68)+COUNTIF(B68:O68,0)</x:f>
        <x:v>7</x:v>
      </x:c>
      <x:c r="X68" s="37" t="n">
        <x:f>IF($V68="无效","",IF(B68="",0,B68/$U68*100))</x:f>
        <x:v>31.602341717259318</x:v>
      </x:c>
      <x:c r="Y68" s="37" t="n">
        <x:f>IF($V68="无效","",IF(C68="",0,C68/$U68*100))</x:f>
        <x:v>0</x:v>
      </x:c>
      <x:c r="Z68" s="37" t="n">
        <x:f>IF($V68="无效","",IF(D68="",0,D68/$U68*100))</x:f>
        <x:v>0</x:v>
      </x:c>
      <x:c r="AA68" s="37" t="n">
        <x:f>IF($V68="无效","",IF(E68="",0,E68/$U68*100))</x:f>
        <x:v>1.3117953165654812</x:v>
      </x:c>
      <x:c r="AB68" s="37" t="n">
        <x:f>IF($V68="无效","",IF(F68="",0,F68/$U68*100))</x:f>
        <x:v>0</x:v>
      </x:c>
      <x:c r="AC68" s="37" t="n">
        <x:f>IF($V68="无效","",IF(G68="",0,G68/$U68*100))</x:f>
        <x:v>2.005637467476149</x:v>
      </x:c>
      <x:c r="AD68" s="37" t="n">
        <x:f>IF($V68="无效","",IF(H68="",0,H68/$U68*100))</x:f>
        <x:v>0</x:v>
      </x:c>
      <x:c r="AE68" s="37" t="n">
        <x:f>IF($V68="无效","",IF(I68="",0,I68/$U68*100))</x:f>
        <x:v>0.8564614050303555</x:v>
      </x:c>
      <x:c r="AF68" s="37" t="n">
        <x:f>IF($V68="无效","",IF(J68="",0,J68/$U68*100))</x:f>
        <x:v>44.72029488291413</x:v>
      </x:c>
      <x:c r="AG68" s="37" t="n">
        <x:f>IF($V68="无效","",IF(K68="",0,K68/$U68*100))</x:f>
        <x:v>16.74978317432784</x:v>
      </x:c>
      <x:c r="AH68" s="37" t="n">
        <x:f>IF($V68="无效","",IF(L68="",0,L68/$U68*100))</x:f>
        <x:v>2.753686036426713</x:v>
      </x:c>
      <x:c r="AI68" s="37" t="n">
        <x:f>IF($V68="无效","",IF(M68="",0,M68/$U68*100))</x:f>
        <x:v>0</x:v>
      </x:c>
      <x:c r="AJ68" s="37" t="n">
        <x:f>IF($V68="无效","",IF(N68="",0,N68/$U68*100))</x:f>
        <x:v>0</x:v>
      </x:c>
      <x:c r="AK68" s="37" t="n">
        <x:f>IF($V68="无效","",IF(O68="",0,O68/$U68*100))</x:f>
        <x:v>0</x:v>
      </x:c>
      <x:c r="AL68" s="37" t="n">
        <x:f>IF(V68="有效",SUM(X68:AK68),"")</x:f>
        <x:v>99.99999999999999</x:v>
      </x:c>
    </x:row>
    <x:row r="69">
      <x:c r="A69" s="32" t="str">
        <x:v>57</x:v>
      </x:c>
      <x:c r="B69" s="33" t="n">
        <x:v>25.42</x:v>
      </x:c>
      <x:c r="C69" s="33"/>
      <x:c r="D69" s="33"/>
      <x:c r="E69" s="33" t="n">
        <x:v>1.31</x:v>
      </x:c>
      <x:c r="F69" s="33"/>
      <x:c r="G69" s="33" t="n">
        <x:v>2.18</x:v>
      </x:c>
      <x:c r="H69" s="33"/>
      <x:c r="I69" s="33" t="n">
        <x:v>1.16</x:v>
      </x:c>
      <x:c r="J69" s="33" t="n">
        <x:v>45.1</x:v>
      </x:c>
      <x:c r="K69" s="33" t="n">
        <x:v>17.3</x:v>
      </x:c>
      <x:c r="L69" s="33"/>
      <x:c r="M69" s="33"/>
      <x:c r="N69" s="33"/>
      <x:c r="O69" s="33"/>
      <x:c r="P69" s="38" t="str">
        <x:v>57</x:v>
      </x:c>
      <x:c r="Q69" s="24" t="str">
        <x:f>IF(ISNUMBER(SEARCH("未风化点",A69)),"未风化点",IF(ISNUMBER(SEARCH("严重风化点",A69)),"严重风化点",IF(ISNUMBER(SEARCH("部位",A69)),"不同部位","普通采样点")))</x:f>
        <x:v>普通采样点</x:v>
      </x:c>
      <x:c r="R69" s="24" t="str">
        <x:f>VLOOKUP(P69,'表单1_清洗'!$A$2:$E$59,3,FALSE)</x:f>
        <x:v>铅钡</x:v>
      </x:c>
      <x:c r="S69" s="24" t="str">
        <x:f>VLOOKUP(P69,'表单1_清洗'!$A$2:$E$59,5,FALSE)</x:f>
        <x:v>风化</x:v>
      </x:c>
      <x:c r="T69" s="24" t="str">
        <x:f>IF(ISNUMBER(SEARCH("未风化点",A69)),"无风化",IF(ISNUMBER(SEARCH("严重风化点",A69)),"风化",S69))</x:f>
        <x:v>风化</x:v>
      </x:c>
      <x:c r="U69" s="36" t="n">
        <x:f>SUM(B69:O69)</x:f>
        <x:v>92.47</x:v>
      </x:c>
      <x:c r="V69" s="24" t="str">
        <x:f>IF(AND(U69&gt;=85,U69&lt;=105),"有效","无效")</x:f>
        <x:v>有效</x:v>
      </x:c>
      <x:c r="W69" s="24" t="n">
        <x:f>COUNTBLANK(B69:O69)+COUNTIF(B69:O69,0)</x:f>
        <x:v>8</x:v>
      </x:c>
      <x:c r="X69" s="37" t="n">
        <x:f>IF($V69="无效","",IF(B69="",0,B69/$U69*100))</x:f>
        <x:v>27.489996755704553</x:v>
      </x:c>
      <x:c r="Y69" s="37" t="n">
        <x:f>IF($V69="无效","",IF(C69="",0,C69/$U69*100))</x:f>
        <x:v>0</x:v>
      </x:c>
      <x:c r="Z69" s="37" t="n">
        <x:f>IF($V69="无效","",IF(D69="",0,D69/$U69*100))</x:f>
        <x:v>0</x:v>
      </x:c>
      <x:c r="AA69" s="37" t="n">
        <x:f>IF($V69="无效","",IF(E69="",0,E69/$U69*100))</x:f>
        <x:v>1.4166756785984644</x:v>
      </x:c>
      <x:c r="AB69" s="37" t="n">
        <x:f>IF($V69="无效","",IF(F69="",0,F69/$U69*100))</x:f>
        <x:v>0</x:v>
      </x:c>
      <x:c r="AC69" s="37" t="n">
        <x:f>IF($V69="无效","",IF(G69="",0,G69/$U69*100))</x:f>
        <x:v>2.3575213582783605</x:v>
      </x:c>
      <x:c r="AD69" s="37" t="n">
        <x:f>IF($V69="无效","",IF(H69="",0,H69/$U69*100))</x:f>
        <x:v>0</x:v>
      </x:c>
      <x:c r="AE69" s="37" t="n">
        <x:f>IF($V69="无效","",IF(I69="",0,I69/$U69*100))</x:f>
        <x:v>1.2544609062398615</x:v>
      </x:c>
      <x:c r="AF69" s="37" t="n">
        <x:f>IF($V69="无效","",IF(J69="",0,J69/$U69*100))</x:f>
        <x:v>48.77257488915324</x:v>
      </x:c>
      <x:c r="AG69" s="37" t="n">
        <x:f>IF($V69="无效","",IF(K69="",0,K69/$U69*100))</x:f>
        <x:v>18.708770412025522</x:v>
      </x:c>
      <x:c r="AH69" s="37" t="n">
        <x:f>IF($V69="无效","",IF(L69="",0,L69/$U69*100))</x:f>
        <x:v>0</x:v>
      </x:c>
      <x:c r="AI69" s="37" t="n">
        <x:f>IF($V69="无效","",IF(M69="",0,M69/$U69*100))</x:f>
        <x:v>0</x:v>
      </x:c>
      <x:c r="AJ69" s="37" t="n">
        <x:f>IF($V69="无效","",IF(N69="",0,N69/$U69*100))</x:f>
        <x:v>0</x:v>
      </x:c>
      <x:c r="AK69" s="37" t="n">
        <x:f>IF($V69="无效","",IF(O69="",0,O69/$U69*100))</x:f>
        <x:v>0</x:v>
      </x:c>
      <x:c r="AL69" s="37" t="n">
        <x:f>IF(V69="有效",SUM(X69:AK69),"")</x:f>
        <x:v>100</x:v>
      </x:c>
    </x:row>
    <x:row r="70">
      <x:c r="A70" s="32" t="str">
        <x:v>58</x:v>
      </x:c>
      <x:c r="B70" s="33" t="n">
        <x:v>30.39</x:v>
      </x:c>
      <x:c r="C70" s="33"/>
      <x:c r="D70" s="33" t="n">
        <x:v>0.34</x:v>
      </x:c>
      <x:c r="E70" s="33" t="n">
        <x:v>3.49</x:v>
      </x:c>
      <x:c r="F70" s="33" t="n">
        <x:v>0.79</x:v>
      </x:c>
      <x:c r="G70" s="33" t="n">
        <x:v>3.52</x:v>
      </x:c>
      <x:c r="H70" s="33" t="n">
        <x:v>0.86</x:v>
      </x:c>
      <x:c r="I70" s="33" t="n">
        <x:v>3.13</x:v>
      </x:c>
      <x:c r="J70" s="33" t="n">
        <x:v>39.35</x:v>
      </x:c>
      <x:c r="K70" s="33" t="n">
        <x:v>7.66</x:v>
      </x:c>
      <x:c r="L70" s="33" t="n">
        <x:v>8.99</x:v>
      </x:c>
      <x:c r="M70" s="33" t="n">
        <x:v>0.24</x:v>
      </x:c>
      <x:c r="N70" s="33"/>
      <x:c r="O70" s="33"/>
      <x:c r="P70" s="38" t="str">
        <x:v>58</x:v>
      </x:c>
      <x:c r="Q70" s="24" t="str">
        <x:f>IF(ISNUMBER(SEARCH("未风化点",A70)),"未风化点",IF(ISNUMBER(SEARCH("严重风化点",A70)),"严重风化点",IF(ISNUMBER(SEARCH("部位",A70)),"不同部位","普通采样点")))</x:f>
        <x:v>普通采样点</x:v>
      </x:c>
      <x:c r="R70" s="24" t="str">
        <x:f>VLOOKUP(P70,'表单1_清洗'!$A$2:$E$59,3,FALSE)</x:f>
        <x:v>铅钡</x:v>
      </x:c>
      <x:c r="S70" s="24" t="str">
        <x:f>VLOOKUP(P70,'表单1_清洗'!$A$2:$E$59,5,FALSE)</x:f>
        <x:v>风化</x:v>
      </x:c>
      <x:c r="T70" s="24" t="str">
        <x:f>IF(ISNUMBER(SEARCH("未风化点",A70)),"无风化",IF(ISNUMBER(SEARCH("严重风化点",A70)),"风化",S70))</x:f>
        <x:v>风化</x:v>
      </x:c>
      <x:c r="U70" s="36" t="n">
        <x:f>SUM(B70:O70)</x:f>
        <x:v>98.75999999999999</x:v>
      </x:c>
      <x:c r="V70" s="24" t="str">
        <x:f>IF(AND(U70&gt;=85,U70&lt;=105),"有效","无效")</x:f>
        <x:v>有效</x:v>
      </x:c>
      <x:c r="W70" s="24" t="n">
        <x:f>COUNTBLANK(B70:O70)+COUNTIF(B70:O70,0)</x:f>
        <x:v>3</x:v>
      </x:c>
      <x:c r="X70" s="37" t="n">
        <x:f>IF($V70="无效","",IF(B70="",0,B70/$U70*100))</x:f>
        <x:v>30.771567436208997</x:v>
      </x:c>
      <x:c r="Y70" s="37" t="n">
        <x:f>IF($V70="无效","",IF(C70="",0,C70/$U70*100))</x:f>
        <x:v>0</x:v>
      </x:c>
      <x:c r="Z70" s="37" t="n">
        <x:f>IF($V70="无效","",IF(D70="",0,D70/$U70*100))</x:f>
        <x:v>0.34426893479141357</x:v>
      </x:c>
      <x:c r="AA70" s="37" t="n">
        <x:f>IF($V70="无效","",IF(E70="",0,E70/$U70*100))</x:f>
        <x:v>3.533819360064804</x:v>
      </x:c>
      <x:c r="AB70" s="37" t="n">
        <x:f>IF($V70="无效","",IF(F70="",0,F70/$U70*100))</x:f>
        <x:v>0.7999189955447551</x:v>
      </x:c>
      <x:c r="AC70" s="37" t="n">
        <x:f>IF($V70="无效","",IF(G70="",0,G70/$U70*100))</x:f>
        <x:v>3.564196030781693</x:v>
      </x:c>
      <x:c r="AD70" s="37" t="n">
        <x:f>IF($V70="无效","",IF(H70="",0,H70/$U70*100))</x:f>
        <x:v>0.8707978938841636</x:v>
      </x:c>
      <x:c r="AE70" s="37" t="n">
        <x:f>IF($V70="无效","",IF(I70="",0,I70/$U70*100))</x:f>
        <x:v>3.169299311462131</x:v>
      </x:c>
      <x:c r="AF70" s="37" t="n">
        <x:f>IF($V70="无效","",IF(J70="",0,J70/$U70*100))</x:f>
        <x:v>39.84406642365331</x:v>
      </x:c>
      <x:c r="AG70" s="37" t="n">
        <x:f>IF($V70="无效","",IF(K70="",0,K70/$U70*100))</x:f>
        <x:v>7.756176589712435</x:v>
      </x:c>
      <x:c r="AH70" s="37" t="n">
        <x:f>IF($V70="无效","",IF(L70="",0,L70/$U70*100))</x:f>
        <x:v>9.1028756581612</x:v>
      </x:c>
      <x:c r="AI70" s="37" t="n">
        <x:f>IF($V70="无效","",IF(M70="",0,M70/$U70*100))</x:f>
        <x:v>0.24301336573511545</x:v>
      </x:c>
      <x:c r="AJ70" s="37" t="n">
        <x:f>IF($V70="无效","",IF(N70="",0,N70/$U70*100))</x:f>
        <x:v>0</x:v>
      </x:c>
      <x:c r="AK70" s="37" t="n">
        <x:f>IF($V70="无效","",IF(O70="",0,O70/$U70*100))</x:f>
        <x:v>0</x:v>
      </x:c>
      <x:c r="AL70" s="37" t="n">
        <x:f>IF(V70="有效",SUM(X70:AK70),"")</x:f>
        <x:v>100.00000000000001</x:v>
      </x:c>
    </x:row>
  </x:sheetData>
  <x:conditionalFormatting sqref="V2:V70">
    <x:cfRule type="containsText" dxfId="1" priority="1" operator="containsText" text="无效"/>
  </x:conditionalFormatting>
  <x:pageMargins left="0.7" right="0.7" top="0.75" bottom="0.75" header="0.3" footer="0.3"/>
  <x:tableParts count="1">
    <x:tablePart xmlns:r="http://schemas.openxmlformats.org/officeDocument/2006/relationships" r:id="Rf729bb5db57a4a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34" customHeight="1">
      <x:c r="A1" s="31" t="str">
        <x:v>采样点</x:v>
      </x:c>
      <x:c r="B1" s="31" t="str">
        <x:v>文物编号</x:v>
      </x:c>
      <x:c r="C1" s="31" t="str">
        <x:v>采样点类型</x:v>
      </x:c>
      <x:c r="D1" s="31" t="str">
        <x:v>玻璃类型</x:v>
      </x:c>
      <x:c r="E1" s="31" t="str">
        <x:v>实际风化</x:v>
      </x:c>
      <x:c r="F1" s="31" t="str">
        <x:v>原始成分总和</x:v>
      </x:c>
      <x:c r="G1" s="31" t="str">
        <x:v>未检出数</x:v>
      </x:c>
      <x:c r="H1" s="31" t="str">
        <x:v>二氧化硅(SiO2)_归一化</x:v>
      </x:c>
      <x:c r="I1" s="31" t="str">
        <x:v>氧化钠(Na2O)_归一化</x:v>
      </x:c>
      <x:c r="J1" s="31" t="str">
        <x:v>氧化钾(K2O)_归一化</x:v>
      </x:c>
      <x:c r="K1" s="31" t="str">
        <x:v>氧化钙(CaO)_归一化</x:v>
      </x:c>
      <x:c r="L1" s="31" t="str">
        <x:v>氧化镁(MgO)_归一化</x:v>
      </x:c>
      <x:c r="M1" s="31" t="str">
        <x:v>氧化铝(Al2O3)_归一化</x:v>
      </x:c>
      <x:c r="N1" s="31" t="str">
        <x:v>氧化铁(Fe2O3)_归一化</x:v>
      </x:c>
      <x:c r="O1" s="31" t="str">
        <x:v>氧化铜(CuO)_归一化</x:v>
      </x:c>
      <x:c r="P1" s="31" t="str">
        <x:v>氧化铅(PbO)_归一化</x:v>
      </x:c>
      <x:c r="Q1" s="31" t="str">
        <x:v>氧化钡(BaO)_归一化</x:v>
      </x:c>
      <x:c r="R1" s="31" t="str">
        <x:v>五氧化二磷(P2O5)_归一化</x:v>
      </x:c>
      <x:c r="S1" s="31" t="str">
        <x:v>氧化锶(SrO)_归一化</x:v>
      </x:c>
      <x:c r="T1" s="31" t="str">
        <x:v>氧化锡(SnO2)_归一化</x:v>
      </x:c>
      <x:c r="U1" s="31" t="str">
        <x:v>二氧化硫(SO2)_归一化</x:v>
      </x:c>
      <x:c r="V1" s="31" t="str">
        <x:v>归一化合计</x:v>
      </x:c>
    </x:row>
    <x:row r="2">
      <x:c r="A2" s="32" t="str">
        <x:v>01</x:v>
      </x:c>
      <x:c r="B2" s="32" t="str">
        <x:v>01</x:v>
      </x:c>
      <x:c r="C2" s="26" t="str">
        <x:f>'表单2_清洗'!Q2</x:f>
        <x:v>普通采样点</x:v>
      </x:c>
      <x:c r="D2" s="26" t="str">
        <x:f>'表单2_清洗'!R2</x:f>
        <x:v>高钾</x:v>
      </x:c>
      <x:c r="E2" s="26" t="str">
        <x:f>'表单2_清洗'!T2</x:f>
        <x:v>无风化</x:v>
      </x:c>
      <x:c r="F2" s="33" t="n">
        <x:f>'表单2_清洗'!U2</x:f>
        <x:v>97.61</x:v>
      </x:c>
      <x:c r="G2" s="39" t="n">
        <x:f>'表单2_清洗'!W2</x:f>
        <x:v>5</x:v>
      </x:c>
      <x:c r="H2" s="34" t="n">
        <x:f>'表单2_清洗'!X2</x:f>
        <x:v>71.02755865177748</x:v>
      </x:c>
      <x:c r="I2" s="34" t="n">
        <x:f>'表单2_清洗'!Y2</x:f>
        <x:v>0</x:v>
      </x:c>
      <x:c r="J2" s="34" t="n">
        <x:f>'表单2_清洗'!Z2</x:f>
        <x:v>10.23460710992726</x:v>
      </x:c>
      <x:c r="K2" s="34" t="n">
        <x:f>'表单2_清洗'!AA2</x:f>
        <x:v>6.474746439913943</x:v>
      </x:c>
      <x:c r="L2" s="34" t="n">
        <x:f>'表单2_清洗'!AB2</x:f>
        <x:v>0.8913021206843561</x:v>
      </x:c>
      <x:c r="M2" s="34" t="n">
        <x:f>'表单2_清洗'!AC2</x:f>
        <x:v>4.026226821022436</x:v>
      </x:c>
      <x:c r="N2" s="34" t="n">
        <x:f>'表单2_清洗'!AD2</x:f>
        <x:v>1.7826042413687122</x:v>
      </x:c>
      <x:c r="O2" s="34" t="n">
        <x:f>'表单2_清洗'!AE2</x:f>
        <x:v>3.9647577092511015</x:v>
      </x:c>
      <x:c r="P2" s="34" t="n">
        <x:f>'表单2_清洗'!AF2</x:f>
        <x:v>0</x:v>
      </x:c>
      <x:c r="Q2" s="34" t="n">
        <x:f>'表单2_清洗'!AG2</x:f>
        <x:v>0</x:v>
      </x:c>
      <x:c r="R2" s="34" t="n">
        <x:f>'表单2_清洗'!AH2</x:f>
        <x:v>1.1986476795410306</x:v>
      </x:c>
      <x:c r="S2" s="34" t="n">
        <x:f>'表单2_清洗'!AI2</x:f>
        <x:v>0</x:v>
      </x:c>
      <x:c r="T2" s="34" t="n">
        <x:f>'表单2_清洗'!AJ2</x:f>
        <x:v>0</x:v>
      </x:c>
      <x:c r="U2" s="34" t="n">
        <x:f>'表单2_清洗'!AK2</x:f>
        <x:v>0.3995492265136769</x:v>
      </x:c>
      <x:c r="V2" s="34" t="n">
        <x:f>'表单2_清洗'!AL2</x:f>
        <x:v>100</x:v>
      </x:c>
    </x:row>
    <x:row r="3">
      <x:c r="A3" s="32" t="str">
        <x:v>02</x:v>
      </x:c>
      <x:c r="B3" s="32" t="str">
        <x:v>02</x:v>
      </x:c>
      <x:c r="C3" s="26" t="str">
        <x:f>'表单2_清洗'!Q3</x:f>
        <x:v>普通采样点</x:v>
      </x:c>
      <x:c r="D3" s="26" t="str">
        <x:f>'表单2_清洗'!R3</x:f>
        <x:v>铅钡</x:v>
      </x:c>
      <x:c r="E3" s="26" t="str">
        <x:f>'表单2_清洗'!T3</x:f>
        <x:v>风化</x:v>
      </x:c>
      <x:c r="F3" s="33" t="n">
        <x:f>'表单2_清洗'!U3</x:f>
        <x:v>99.88999999999999</x:v>
      </x:c>
      <x:c r="G3" s="39" t="n">
        <x:f>'表单2_清洗'!W3</x:f>
        <x:v>4</x:v>
      </x:c>
      <x:c r="H3" s="34" t="n">
        <x:f>'表单2_清洗'!X3</x:f>
        <x:v>36.31995194714186</x:v>
      </x:c>
      <x:c r="I3" s="34" t="n">
        <x:f>'表单2_清洗'!Y3</x:f>
        <x:v>0</x:v>
      </x:c>
      <x:c r="J3" s="34" t="n">
        <x:f>'表单2_清洗'!Z3</x:f>
        <x:v>1.0511562718990892</x:v>
      </x:c>
      <x:c r="K3" s="34" t="n">
        <x:f>'表单2_清洗'!AA3</x:f>
        <x:v>2.34257683451797</x:v>
      </x:c>
      <x:c r="L3" s="34" t="n">
        <x:f>'表单2_清洗'!AB3</x:f>
        <x:v>1.1812994293723096</x:v>
      </x:c>
      <x:c r="M3" s="34" t="n">
        <x:f>'表单2_清洗'!AC3</x:f>
        <x:v>5.73630994093503</x:v>
      </x:c>
      <x:c r="N3" s="34" t="n">
        <x:f>'表单2_清洗'!AD3</x:f>
        <x:v>1.8620482530783866</x:v>
      </x:c>
      <x:c r="O3" s="34" t="n">
        <x:f>'表单2_清洗'!AE3</x:f>
        <x:v>0.2602863149464411</x:v>
      </x:c>
      <x:c r="P3" s="34" t="n">
        <x:f>'表单2_清洗'!AF3</x:f>
        <x:v>47.48223045349885</x:v>
      </x:c>
      <x:c r="Q3" s="34" t="n">
        <x:f>'表单2_清洗'!AG3</x:f>
        <x:v>0</x:v>
      </x:c>
      <x:c r="R3" s="34" t="n">
        <x:f>'表单2_清洗'!AH3</x:f>
        <x:v>3.5739313244569026</x:v>
      </x:c>
      <x:c r="S3" s="34" t="n">
        <x:f>'表单2_清洗'!AI3</x:f>
        <x:v>0.1902092301531685</x:v>
      </x:c>
      <x:c r="T3" s="34" t="n">
        <x:f>'表单2_清洗'!AJ3</x:f>
        <x:v>0</x:v>
      </x:c>
      <x:c r="U3" s="34" t="n">
        <x:f>'表单2_清洗'!AK3</x:f>
        <x:v>0</x:v>
      </x:c>
      <x:c r="V3" s="34" t="n">
        <x:f>'表单2_清洗'!AL3</x:f>
        <x:v>100.00000000000001</x:v>
      </x:c>
    </x:row>
    <x:row r="4">
      <x:c r="A4" s="32" t="str">
        <x:v>03部位1</x:v>
      </x:c>
      <x:c r="B4" s="32" t="str">
        <x:v>03</x:v>
      </x:c>
      <x:c r="C4" s="26" t="str">
        <x:f>'表单2_清洗'!Q4</x:f>
        <x:v>不同部位</x:v>
      </x:c>
      <x:c r="D4" s="26" t="str">
        <x:f>'表单2_清洗'!R4</x:f>
        <x:v>高钾</x:v>
      </x:c>
      <x:c r="E4" s="26" t="str">
        <x:f>'表单2_清洗'!T4</x:f>
        <x:v>无风化</x:v>
      </x:c>
      <x:c r="F4" s="33" t="n">
        <x:f>'表单2_清洗'!U4</x:f>
        <x:v>100</x:v>
      </x:c>
      <x:c r="G4" s="39" t="n">
        <x:f>'表单2_清洗'!W4</x:f>
        <x:v>7</x:v>
      </x:c>
      <x:c r="H4" s="34" t="n">
        <x:f>'表单2_清洗'!X4</x:f>
        <x:v>87.05</x:v>
      </x:c>
      <x:c r="I4" s="34" t="n">
        <x:f>'表单2_清洗'!Y4</x:f>
        <x:v>0</x:v>
      </x:c>
      <x:c r="J4" s="34" t="n">
        <x:f>'表单2_清洗'!Z4</x:f>
        <x:v>5.19</x:v>
      </x:c>
      <x:c r="K4" s="34" t="n">
        <x:f>'表单2_清洗'!AA4</x:f>
        <x:v>2.01</x:v>
      </x:c>
      <x:c r="L4" s="34" t="n">
        <x:f>'表单2_清洗'!AB4</x:f>
        <x:v>0</x:v>
      </x:c>
      <x:c r="M4" s="34" t="n">
        <x:f>'表单2_清洗'!AC4</x:f>
        <x:v>4.06</x:v>
      </x:c>
      <x:c r="N4" s="34" t="n">
        <x:f>'表单2_清洗'!AD4</x:f>
        <x:v>0</x:v>
      </x:c>
      <x:c r="O4" s="34" t="n">
        <x:f>'表单2_清洗'!AE4</x:f>
        <x:v>0.78</x:v>
      </x:c>
      <x:c r="P4" s="34" t="n">
        <x:f>'表单2_清洗'!AF4</x:f>
        <x:v>0.25</x:v>
      </x:c>
      <x:c r="Q4" s="34" t="n">
        <x:f>'表单2_清洗'!AG4</x:f>
        <x:v>0</x:v>
      </x:c>
      <x:c r="R4" s="34" t="n">
        <x:f>'表单2_清洗'!AH4</x:f>
        <x:v>0.66</x:v>
      </x:c>
      <x:c r="S4" s="34" t="n">
        <x:f>'表单2_清洗'!AI4</x:f>
        <x:v>0</x:v>
      </x:c>
      <x:c r="T4" s="34" t="n">
        <x:f>'表单2_清洗'!AJ4</x:f>
        <x:v>0</x:v>
      </x:c>
      <x:c r="U4" s="34" t="n">
        <x:f>'表单2_清洗'!AK4</x:f>
        <x:v>0</x:v>
      </x:c>
      <x:c r="V4" s="34" t="n">
        <x:f>'表单2_清洗'!AL4</x:f>
        <x:v>100</x:v>
      </x:c>
    </x:row>
    <x:row r="5">
      <x:c r="A5" s="32" t="str">
        <x:v>03部位2</x:v>
      </x:c>
      <x:c r="B5" s="32" t="str">
        <x:v>03</x:v>
      </x:c>
      <x:c r="C5" s="26" t="str">
        <x:f>'表单2_清洗'!Q5</x:f>
        <x:v>不同部位</x:v>
      </x:c>
      <x:c r="D5" s="26" t="str">
        <x:f>'表单2_清洗'!R5</x:f>
        <x:v>高钾</x:v>
      </x:c>
      <x:c r="E5" s="26" t="str">
        <x:f>'表单2_清洗'!T5</x:f>
        <x:v>无风化</x:v>
      </x:c>
      <x:c r="F5" s="33" t="n">
        <x:f>'表单2_清洗'!U5</x:f>
        <x:v>98.88</x:v>
      </x:c>
      <x:c r="G5" s="39" t="n">
        <x:f>'表单2_清洗'!W5</x:f>
        <x:v>3</x:v>
      </x:c>
      <x:c r="H5" s="34" t="n">
        <x:f>'表单2_清洗'!X5</x:f>
        <x:v>62.40898058252428</x:v>
      </x:c>
      <x:c r="I5" s="34" t="n">
        <x:f>'表单2_清洗'!Y5</x:f>
        <x:v>0</x:v>
      </x:c>
      <x:c r="J5" s="34" t="n">
        <x:f>'表单2_清洗'!Z5</x:f>
        <x:v>12.510113268608414</x:v>
      </x:c>
      <x:c r="K5" s="34" t="n">
        <x:f>'表单2_清洗'!AA5</x:f>
        <x:v>5.936488673139159</x:v>
      </x:c>
      <x:c r="L5" s="34" t="n">
        <x:f>'表单2_清洗'!AB5</x:f>
        <x:v>1.1225728155339807</x:v>
      </x:c>
      <x:c r="M5" s="34" t="n">
        <x:f>'表单2_清洗'!AC5</x:f>
        <x:v>5.562297734627832</x:v>
      </x:c>
      <x:c r="N5" s="34" t="n">
        <x:f>'表单2_清洗'!AD5</x:f>
        <x:v>2.1844660194174756</x:v>
      </x:c>
      <x:c r="O5" s="34" t="n">
        <x:f>'表单2_清洗'!AE5</x:f>
        <x:v>5.147653721682848</x:v>
      </x:c>
      <x:c r="P5" s="34" t="n">
        <x:f>'表单2_清洗'!AF5</x:f>
        <x:v>1.4259708737864079</x:v>
      </x:c>
      <x:c r="Q5" s="34" t="n">
        <x:f>'表单2_清洗'!AG5</x:f>
        <x:v>2.8923948220064726</x:v>
      </x:c>
      <x:c r="R5" s="34" t="n">
        <x:f>'表单2_清洗'!AH5</x:f>
        <x:v>0.7079288025889968</x:v>
      </x:c>
      <x:c r="S5" s="34" t="n">
        <x:f>'表单2_清洗'!AI5</x:f>
        <x:v>0.10113268608414241</x:v>
      </x:c>
      <x:c r="T5" s="34" t="n">
        <x:f>'表单2_清洗'!AJ5</x:f>
        <x:v>0</x:v>
      </x:c>
      <x:c r="U5" s="34" t="n">
        <x:f>'表单2_清洗'!AK5</x:f>
        <x:v>0</x:v>
      </x:c>
      <x:c r="V5" s="34" t="n">
        <x:f>'表单2_清洗'!AL5</x:f>
        <x:v>100</x:v>
      </x:c>
    </x:row>
    <x:row r="6">
      <x:c r="A6" s="32" t="str">
        <x:v>04</x:v>
      </x:c>
      <x:c r="B6" s="32" t="str">
        <x:v>04</x:v>
      </x:c>
      <x:c r="C6" s="26" t="str">
        <x:f>'表单2_清洗'!Q6</x:f>
        <x:v>普通采样点</x:v>
      </x:c>
      <x:c r="D6" s="26" t="str">
        <x:f>'表单2_清洗'!R6</x:f>
        <x:v>高钾</x:v>
      </x:c>
      <x:c r="E6" s="26" t="str">
        <x:f>'表单2_清洗'!T6</x:f>
        <x:v>无风化</x:v>
      </x:c>
      <x:c r="F6" s="33" t="n">
        <x:f>'表单2_清洗'!U6</x:f>
        <x:v>96.06000000000002</x:v>
      </x:c>
      <x:c r="G6" s="39" t="n">
        <x:f>'表单2_清洗'!W6</x:f>
        <x:v>5</x:v>
      </x:c>
      <x:c r="H6" s="34" t="n">
        <x:f>'表单2_清洗'!X6</x:f>
        <x:v>68.58213616489692</x:v>
      </x:c>
      <x:c r="I6" s="34" t="n">
        <x:f>'表单2_清洗'!Y6</x:f>
        <x:v>0</x:v>
      </x:c>
      <x:c r="J6" s="34" t="n">
        <x:f>'表单2_清洗'!Z6</x:f>
        <x:v>10.066625026025399</x:v>
      </x:c>
      <x:c r="K6" s="34" t="n">
        <x:f>'表单2_清洗'!AA6</x:f>
        <x:v>7.412034145325837</x:v>
      </x:c>
      <x:c r="L6" s="34" t="n">
        <x:f>'表单2_清洗'!AB6</x:f>
        <x:v>1.623985009369144</x:v>
      </x:c>
      <x:c r="M6" s="34" t="n">
        <x:f>'表单2_清洗'!AC6</x:f>
        <x:v>6.704143243805954</x:v>
      </x:c>
      <x:c r="N6" s="34" t="n">
        <x:f>'表单2_清洗'!AD6</x:f>
        <x:v>2.1444930251925878</x:v>
      </x:c>
      <x:c r="O6" s="34" t="n">
        <x:f>'表单2_清洗'!AE6</x:f>
        <x:v>2.2694149489902142</x:v>
      </x:c>
      <x:c r="P6" s="34" t="n">
        <x:f>'表单2_清洗'!AF6</x:f>
        <x:v>0</x:v>
      </x:c>
      <x:c r="Q6" s="34" t="n">
        <x:f>'表单2_清洗'!AG6</x:f>
        <x:v>0</x:v>
      </x:c>
      <x:c r="R6" s="34" t="n">
        <x:f>'表单2_清洗'!AH6</x:f>
        <x:v>0.8224026650010409</x:v>
      </x:c>
      <x:c r="S6" s="34" t="n">
        <x:f>'表单2_清洗'!AI6</x:f>
        <x:v>0</x:v>
      </x:c>
      <x:c r="T6" s="34" t="n">
        <x:f>'表单2_清洗'!AJ6</x:f>
        <x:v>0</x:v>
      </x:c>
      <x:c r="U6" s="34" t="n">
        <x:f>'表单2_清洗'!AK6</x:f>
        <x:v>0.37476577139287937</x:v>
      </x:c>
      <x:c r="V6" s="34" t="n">
        <x:f>'表单2_清洗'!AL6</x:f>
        <x:v>99.99999999999999</x:v>
      </x:c>
    </x:row>
    <x:row r="7">
      <x:c r="A7" s="32" t="str">
        <x:v>05</x:v>
      </x:c>
      <x:c r="B7" s="32" t="str">
        <x:v>05</x:v>
      </x:c>
      <x:c r="C7" s="26" t="str">
        <x:f>'表单2_清洗'!Q7</x:f>
        <x:v>普通采样点</x:v>
      </x:c>
      <x:c r="D7" s="26" t="str">
        <x:f>'表单2_清洗'!R7</x:f>
        <x:v>高钾</x:v>
      </x:c>
      <x:c r="E7" s="26" t="str">
        <x:f>'表单2_清洗'!T7</x:f>
        <x:v>无风化</x:v>
      </x:c>
      <x:c r="F7" s="33" t="n">
        <x:f>'表单2_清洗'!U7</x:f>
        <x:v>96.50999999999999</x:v>
      </x:c>
      <x:c r="G7" s="39" t="n">
        <x:f>'表单2_清洗'!W7</x:f>
        <x:v>4</x:v>
      </x:c>
      <x:c r="H7" s="34" t="n">
        <x:f>'表单2_清洗'!X7</x:f>
        <x:v>63.80685939280903</x:v>
      </x:c>
      <x:c r="I7" s="34" t="n">
        <x:f>'表单2_清洗'!Y7</x:f>
        <x:v>0</x:v>
      </x:c>
      <x:c r="J7" s="34" t="n">
        <x:f>'表单2_清洗'!Z7</x:f>
        <x:v>11.345974510413429</x:v>
      </x:c>
      <x:c r="K7" s="34" t="n">
        <x:f>'表单2_清洗'!AA7</x:f>
        <x:v>7.615791109729562</x:v>
      </x:c>
      <x:c r="L7" s="34" t="n">
        <x:f>'表单2_清洗'!AB7</x:f>
        <x:v>1.834006838669568</x:v>
      </x:c>
      <x:c r="M7" s="34" t="n">
        <x:f>'表单2_清洗'!AC7</x:f>
        <x:v>7.77121541809139</x:v>
      </x:c>
      <x:c r="N7" s="34" t="n">
        <x:f>'表单2_清洗'!AD7</x:f>
        <x:v>2.7147445860532593</x:v>
      </x:c>
      <x:c r="O7" s="34" t="n">
        <x:f>'表单2_清洗'!AE7</x:f>
        <x:v>3.388249922287846</x:v>
      </x:c>
      <x:c r="P7" s="34" t="n">
        <x:f>'表单2_清洗'!AF7</x:f>
        <x:v>0</x:v>
      </x:c>
      <x:c r="Q7" s="34" t="n">
        <x:f>'表单2_清洗'!AG7</x:f>
        <x:v>0</x:v>
      </x:c>
      <x:c r="R7" s="34" t="n">
        <x:f>'表单2_清洗'!AH7</x:f>
        <x:v>0.9739923324007875</x:v>
      </x:c>
      <x:c r="S7" s="34" t="n">
        <x:f>'表单2_清洗'!AI7</x:f>
        <x:v>0.06216972334473112</x:v>
      </x:c>
      <x:c r="T7" s="34" t="n">
        <x:f>'表单2_清洗'!AJ7</x:f>
        <x:v>0</x:v>
      </x:c>
      <x:c r="U7" s="34" t="n">
        <x:f>'表单2_清洗'!AK7</x:f>
        <x:v>0.48699616620039377</x:v>
      </x:c>
      <x:c r="V7" s="34" t="n">
        <x:f>'表单2_清洗'!AL7</x:f>
        <x:v>99.99999999999999</x:v>
      </x:c>
    </x:row>
    <x:row r="8">
      <x:c r="A8" s="32" t="str">
        <x:v>06部位1</x:v>
      </x:c>
      <x:c r="B8" s="32" t="str">
        <x:v>06</x:v>
      </x:c>
      <x:c r="C8" s="26" t="str">
        <x:f>'表单2_清洗'!Q8</x:f>
        <x:v>不同部位</x:v>
      </x:c>
      <x:c r="D8" s="26" t="str">
        <x:f>'表单2_清洗'!R8</x:f>
        <x:v>高钾</x:v>
      </x:c>
      <x:c r="E8" s="26" t="str">
        <x:f>'表单2_清洗'!T8</x:f>
        <x:v>无风化</x:v>
      </x:c>
      <x:c r="F8" s="33" t="n">
        <x:f>'表单2_清洗'!U8</x:f>
        <x:v>98.92000000000003</x:v>
      </x:c>
      <x:c r="G8" s="39" t="n">
        <x:f>'表单2_清洗'!W8</x:f>
        <x:v>4</x:v>
      </x:c>
      <x:c r="H8" s="34" t="n">
        <x:f>'表单2_清洗'!X8</x:f>
        <x:v>68.3885968459361</x:v>
      </x:c>
      <x:c r="I8" s="34" t="n">
        <x:f>'表单2_清洗'!Y8</x:f>
        <x:v>0</x:v>
      </x:c>
      <x:c r="J8" s="34" t="n">
        <x:f>'表单2_清洗'!Z8</x:f>
        <x:v>7.450465022240192</x:v>
      </x:c>
      <x:c r="K8" s="34" t="n">
        <x:f>'表单2_清洗'!AA8</x:f>
        <x:v>0</x:v>
      </x:c>
      <x:c r="L8" s="34" t="n">
        <x:f>'表单2_清洗'!AB8</x:f>
        <x:v>2.0016174686615438</x:v>
      </x:c>
      <x:c r="M8" s="34" t="n">
        <x:f>'表单2_清洗'!AC8</x:f>
        <x:v>11.271734735139503</x:v>
      </x:c>
      <x:c r="N8" s="34" t="n">
        <x:f>'表单2_清洗'!AD8</x:f>
        <x:v>2.416093813182369</x:v>
      </x:c>
      <x:c r="O8" s="34" t="n">
        <x:f>'表单2_清洗'!AE8</x:f>
        <x:v>2.5374039627982197</x:v>
      </x:c>
      <x:c r="P8" s="34" t="n">
        <x:f>'表单2_清洗'!AF8</x:f>
        <x:v>0.20218358269308528</x:v>
      </x:c>
      <x:c r="Q8" s="34" t="n">
        <x:f>'表单2_清洗'!AG8</x:f>
        <x:v>1.3950667205822882</x:v>
      </x:c>
      <x:c r="R8" s="34" t="n">
        <x:f>'表单2_清洗'!AH8</x:f>
        <x:v>4.225636878285481</x:v>
      </x:c>
      <x:c r="S8" s="34" t="n">
        <x:f>'表单2_清洗'!AI8</x:f>
        <x:v>0.1112009704811969</x:v>
      </x:c>
      <x:c r="T8" s="34" t="n">
        <x:f>'表单2_清洗'!AJ8</x:f>
        <x:v>0</x:v>
      </x:c>
      <x:c r="U8" s="34" t="n">
        <x:f>'表单2_清洗'!AK8</x:f>
        <x:v>0</x:v>
      </x:c>
      <x:c r="V8" s="34" t="n">
        <x:f>'表单2_清洗'!AL8</x:f>
        <x:v>100</x:v>
      </x:c>
    </x:row>
    <x:row r="9">
      <x:c r="A9" s="32" t="str">
        <x:v>06部位2</x:v>
      </x:c>
      <x:c r="B9" s="32" t="str">
        <x:v>06</x:v>
      </x:c>
      <x:c r="C9" s="26" t="str">
        <x:f>'表单2_清洗'!Q9</x:f>
        <x:v>不同部位</x:v>
      </x:c>
      <x:c r="D9" s="26" t="str">
        <x:f>'表单2_清洗'!R9</x:f>
        <x:v>高钾</x:v>
      </x:c>
      <x:c r="E9" s="26" t="str">
        <x:f>'表单2_清洗'!T9</x:f>
        <x:v>无风化</x:v>
      </x:c>
      <x:c r="F9" s="33" t="n">
        <x:f>'表单2_清洗'!U9</x:f>
        <x:v>98.84000000000002</x:v>
      </x:c>
      <x:c r="G9" s="39" t="n">
        <x:f>'表单2_清洗'!W9</x:f>
        <x:v>3</x:v>
      </x:c>
      <x:c r="H9" s="34" t="n">
        <x:f>'表单2_清洗'!X9</x:f>
        <x:v>60.51193848644273</x:v>
      </x:c>
      <x:c r="I9" s="34" t="n">
        <x:f>'表单2_清洗'!Y9</x:f>
        <x:v>0</x:v>
      </x:c>
      <x:c r="J9" s="34" t="n">
        <x:f>'表单2_清洗'!Z9</x:f>
        <x:v>7.7701335491703745</x:v>
      </x:c>
      <x:c r="K9" s="34" t="n">
        <x:f>'表单2_清洗'!AA9</x:f>
        <x:v>5.473492513152569</x:v>
      </x:c>
      <x:c r="L9" s="34" t="n">
        <x:f>'表单2_清洗'!AB9</x:f>
        <x:v>1.750303520841764</x:v>
      </x:c>
      <x:c r="M9" s="34" t="n">
        <x:f>'表单2_清洗'!AC9</x:f>
        <x:v>10.16794819910967</x:v>
      </x:c>
      <x:c r="N9" s="34" t="n">
        <x:f>'表单2_清洗'!AD9</x:f>
        <x:v>6.110886280857951</x:v>
      </x:c>
      <x:c r="O9" s="34" t="n">
        <x:f>'表单2_清洗'!AE9</x:f>
        <x:v>2.205584783488466</x:v>
      </x:c>
      <x:c r="P9" s="34" t="n">
        <x:f>'表单2_清洗'!AF9</x:f>
        <x:v>0.3541076487252124</x:v>
      </x:c>
      <x:c r="Q9" s="34" t="n">
        <x:f>'表单2_清洗'!AG9</x:f>
        <x:v>0.9813840550384457</x:v>
      </x:c>
      <x:c r="R9" s="34" t="n">
        <x:f>'表单2_清洗'!AH9</x:f>
        <x:v>4.552812626467016</x:v>
      </x:c>
      <x:c r="S9" s="34" t="n">
        <x:f>'表单2_清洗'!AI9</x:f>
        <x:v>0.1214083367057871</x:v>
      </x:c>
      <x:c r="T9" s="34" t="n">
        <x:f>'表单2_清洗'!AJ9</x:f>
        <x:v>0</x:v>
      </x:c>
      <x:c r="U9" s="34" t="n">
        <x:f>'表单2_清洗'!AK9</x:f>
        <x:v>0</x:v>
      </x:c>
      <x:c r="V9" s="34" t="n">
        <x:f>'表单2_清洗'!AL9</x:f>
        <x:v>100</x:v>
      </x:c>
    </x:row>
    <x:row r="10">
      <x:c r="A10" s="32" t="str">
        <x:v>07</x:v>
      </x:c>
      <x:c r="B10" s="32" t="str">
        <x:v>07</x:v>
      </x:c>
      <x:c r="C10" s="26" t="str">
        <x:f>'表单2_清洗'!Q10</x:f>
        <x:v>普通采样点</x:v>
      </x:c>
      <x:c r="D10" s="26" t="str">
        <x:f>'表单2_清洗'!R10</x:f>
        <x:v>高钾</x:v>
      </x:c>
      <x:c r="E10" s="26" t="str">
        <x:f>'表单2_清洗'!T10</x:f>
        <x:v>风化</x:v>
      </x:c>
      <x:c r="F10" s="33" t="n">
        <x:f>'表单2_清洗'!U10</x:f>
        <x:v>99.69999999999999</x:v>
      </x:c>
      <x:c r="G10" s="39" t="n">
        <x:f>'表单2_清洗'!W10</x:f>
        <x:v>8</x:v>
      </x:c>
      <x:c r="H10" s="34" t="n">
        <x:f>'表单2_清洗'!X10</x:f>
        <x:v>92.90872617853562</x:v>
      </x:c>
      <x:c r="I10" s="34" t="n">
        <x:f>'表单2_清洗'!Y10</x:f>
        <x:v>0</x:v>
      </x:c>
      <x:c r="J10" s="34" t="n">
        <x:f>'表单2_清洗'!Z10</x:f>
        <x:v>0</x:v>
      </x:c>
      <x:c r="K10" s="34" t="n">
        <x:f>'表单2_清洗'!AA10</x:f>
        <x:v>1.073219658976931</x:v>
      </x:c>
      <x:c r="L10" s="34" t="n">
        <x:f>'表单2_清洗'!AB10</x:f>
        <x:v>0</x:v>
      </x:c>
      <x:c r="M10" s="34" t="n">
        <x:f>'表单2_清洗'!AC10</x:f>
        <x:v>1.9859578736208627</x:v>
      </x:c>
      <x:c r="N10" s="34" t="n">
        <x:f>'表单2_清洗'!AD10</x:f>
        <x:v>0.17051153460381147</x:v>
      </x:c>
      <x:c r="O10" s="34" t="n">
        <x:f>'表单2_清洗'!AE10</x:f>
        <x:v>3.2497492477432304</x:v>
      </x:c>
      <x:c r="P10" s="34" t="n">
        <x:f>'表单2_清洗'!AF10</x:f>
        <x:v>0</x:v>
      </x:c>
      <x:c r="Q10" s="34" t="n">
        <x:f>'表单2_清洗'!AG10</x:f>
        <x:v>0</x:v>
      </x:c>
      <x:c r="R10" s="34" t="n">
        <x:f>'表单2_清洗'!AH10</x:f>
        <x:v>0.6118355065195588</x:v>
      </x:c>
      <x:c r="S10" s="34" t="n">
        <x:f>'表单2_清洗'!AI10</x:f>
        <x:v>0</x:v>
      </x:c>
      <x:c r="T10" s="34" t="n">
        <x:f>'表单2_清洗'!AJ10</x:f>
        <x:v>0</x:v>
      </x:c>
      <x:c r="U10" s="34" t="n">
        <x:f>'表单2_清洗'!AK10</x:f>
        <x:v>0</x:v>
      </x:c>
      <x:c r="V10" s="34" t="n">
        <x:f>'表单2_清洗'!AL10</x:f>
        <x:v>100</x:v>
      </x:c>
    </x:row>
    <x:row r="11">
      <x:c r="A11" s="32" t="str">
        <x:v>08</x:v>
      </x:c>
      <x:c r="B11" s="32" t="str">
        <x:v>08</x:v>
      </x:c>
      <x:c r="C11" s="26" t="str">
        <x:f>'表单2_清洗'!Q11</x:f>
        <x:v>普通采样点</x:v>
      </x:c>
      <x:c r="D11" s="26" t="str">
        <x:f>'表单2_清洗'!R11</x:f>
        <x:v>铅钡</x:v>
      </x:c>
      <x:c r="E11" s="26" t="str">
        <x:f>'表单2_清洗'!T11</x:f>
        <x:v>风化</x:v>
      </x:c>
      <x:c r="F11" s="33" t="n">
        <x:f>'表单2_清洗'!U11</x:f>
        <x:v>99.82000000000001</x:v>
      </x:c>
      <x:c r="G11" s="39" t="n">
        <x:f>'表单2_清洗'!W11</x:f>
        <x:v>5</x:v>
      </x:c>
      <x:c r="H11" s="34" t="n">
        <x:f>'表单2_清洗'!X11</x:f>
        <x:v>20.176317371268283</x:v>
      </x:c>
      <x:c r="I11" s="34" t="n">
        <x:f>'表单2_清洗'!Y11</x:f>
        <x:v>0</x:v>
      </x:c>
      <x:c r="J11" s="34" t="n">
        <x:f>'表单2_清洗'!Z11</x:f>
        <x:v>0</x:v>
      </x:c>
      <x:c r="K11" s="34" t="n">
        <x:f>'表单2_清洗'!AA11</x:f>
        <x:v>1.4826688038469242</x:v>
      </x:c>
      <x:c r="L11" s="34" t="n">
        <x:f>'表单2_清洗'!AB11</x:f>
        <x:v>0</x:v>
      </x:c>
      <x:c r="M11" s="34" t="n">
        <x:f>'表单2_清洗'!AC11</x:f>
        <x:v>1.342416349428972</x:v>
      </x:c>
      <x:c r="N11" s="34" t="n">
        <x:f>'表单2_清洗'!AD11</x:f>
        <x:v>0</x:v>
      </x:c>
      <x:c r="O11" s="34" t="n">
        <x:f>'表单2_清洗'!AE11</x:f>
        <x:v>10.428771789220596</x:v>
      </x:c>
      <x:c r="P11" s="34" t="n">
        <x:f>'表单2_清洗'!AF11</x:f>
        <x:v>28.73171709076337</x:v>
      </x:c>
      <x:c r="Q11" s="34" t="n">
        <x:f>'表单2_清洗'!AG11</x:f>
        <x:v>31.28631536766179</x:v>
      </x:c>
      <x:c r="R11" s="34" t="n">
        <x:f>'表单2_清洗'!AH11</x:f>
        <x:v>3.596473652574634</x:v>
      </x:c>
      <x:c r="S11" s="34" t="n">
        <x:f>'表单2_清洗'!AI11</x:f>
        <x:v>0.37066720096173106</x:v>
      </x:c>
      <x:c r="T11" s="34" t="n">
        <x:f>'表单2_清洗'!AJ11</x:f>
        <x:v>0</x:v>
      </x:c>
      <x:c r="U11" s="34" t="n">
        <x:f>'表单2_清洗'!AK11</x:f>
        <x:v>2.584652374273692</x:v>
      </x:c>
      <x:c r="V11" s="34" t="n">
        <x:f>'表单2_清洗'!AL11</x:f>
        <x:v>99.99999999999999</x:v>
      </x:c>
    </x:row>
    <x:row r="12">
      <x:c r="A12" s="32" t="str">
        <x:v>08严重风化点</x:v>
      </x:c>
      <x:c r="B12" s="32" t="str">
        <x:v>08</x:v>
      </x:c>
      <x:c r="C12" s="26" t="str">
        <x:f>'表单2_清洗'!Q12</x:f>
        <x:v>严重风化点</x:v>
      </x:c>
      <x:c r="D12" s="26" t="str">
        <x:f>'表单2_清洗'!R12</x:f>
        <x:v>铅钡</x:v>
      </x:c>
      <x:c r="E12" s="26" t="str">
        <x:f>'表单2_清洗'!T12</x:f>
        <x:v>风化</x:v>
      </x:c>
      <x:c r="F12" s="33" t="n">
        <x:f>'表单2_清洗'!U12</x:f>
        <x:v>98.24000000000001</x:v>
      </x:c>
      <x:c r="G12" s="39" t="n">
        <x:f>'表单2_清洗'!W12</x:f>
        <x:v>5</x:v>
      </x:c>
      <x:c r="H12" s="34" t="n">
        <x:f>'表单2_清洗'!X12</x:f>
        <x:v>4.692589576547231</x:v>
      </x:c>
      <x:c r="I12" s="34" t="n">
        <x:f>'表单2_清洗'!Y12</x:f>
        <x:v>0</x:v>
      </x:c>
      <x:c r="J12" s="34" t="n">
        <x:f>'表单2_清洗'!Z12</x:f>
        <x:v>0</x:v>
      </x:c>
      <x:c r="K12" s="34" t="n">
        <x:f>'表单2_清洗'!AA12</x:f>
        <x:v>3.24714983713355</x:v>
      </x:c>
      <x:c r="L12" s="34" t="n">
        <x:f>'表单2_清洗'!AB12</x:f>
        <x:v>0</x:v>
      </x:c>
      <x:c r="M12" s="34" t="n">
        <x:f>'表单2_清洗'!AC12</x:f>
        <x:v>1.129885993485342</x:v>
      </x:c>
      <x:c r="N12" s="34" t="n">
        <x:f>'表单2_清洗'!AD12</x:f>
        <x:v>0</x:v>
      </x:c>
      <x:c r="O12" s="34" t="n">
        <x:f>'表单2_清洗'!AE12</x:f>
        <x:v>3.196254071661238</x:v>
      </x:c>
      <x:c r="P12" s="34" t="n">
        <x:f>'表单2_清洗'!AF12</x:f>
        <x:v>33.031351791530945</x:v>
      </x:c>
      <x:c r="Q12" s="34" t="n">
        <x:f>'表单2_清洗'!AG12</x:f>
        <x:v>31.1685667752443</x:v>
      </x:c>
      <x:c r="R12" s="34" t="n">
        <x:f>'表单2_清洗'!AH12</x:f>
        <x:v>7.69543973941368</x:v>
      </x:c>
      <x:c r="S12" s="34" t="n">
        <x:f>'表单2_清洗'!AI12</x:f>
        <x:v>0.5394951140065146</x:v>
      </x:c>
      <x:c r="T12" s="34" t="n">
        <x:f>'表单2_清洗'!AJ12</x:f>
        <x:v>0</x:v>
      </x:c>
      <x:c r="U12" s="34" t="n">
        <x:f>'表单2_清洗'!AK12</x:f>
        <x:v>15.299267100977195</x:v>
      </x:c>
      <x:c r="V12" s="34" t="n">
        <x:f>'表单2_清洗'!AL12</x:f>
        <x:v>100</x:v>
      </x:c>
    </x:row>
    <x:row r="13">
      <x:c r="A13" s="32" t="str">
        <x:v>09</x:v>
      </x:c>
      <x:c r="B13" s="32" t="str">
        <x:v>09</x:v>
      </x:c>
      <x:c r="C13" s="26" t="str">
        <x:f>'表单2_清洗'!Q13</x:f>
        <x:v>普通采样点</x:v>
      </x:c>
      <x:c r="D13" s="26" t="str">
        <x:f>'表单2_清洗'!R13</x:f>
        <x:v>高钾</x:v>
      </x:c>
      <x:c r="E13" s="26" t="str">
        <x:f>'表单2_清洗'!T13</x:f>
        <x:v>风化</x:v>
      </x:c>
      <x:c r="F13" s="33" t="n">
        <x:f>'表单2_清洗'!U13</x:f>
        <x:v>99.76999999999998</x:v>
      </x:c>
      <x:c r="G13" s="39" t="n">
        <x:f>'表单2_清洗'!W13</x:f>
        <x:v>7</x:v>
      </x:c>
      <x:c r="H13" s="34" t="n">
        <x:f>'表单2_清洗'!X13</x:f>
        <x:v>95.23904981457353</x:v>
      </x:c>
      <x:c r="I13" s="34" t="n">
        <x:f>'表单2_清洗'!Y13</x:f>
        <x:v>0</x:v>
      </x:c>
      <x:c r="J13" s="34" t="n">
        <x:f>'表单2_清洗'!Z13</x:f>
        <x:v>0.5913601282950788</x:v>
      </x:c>
      <x:c r="K13" s="34" t="n">
        <x:f>'表单2_清洗'!AA13</x:f>
        <x:v>0.6214292873609303</x:v>
      </x:c>
      <x:c r="L13" s="34" t="n">
        <x:f>'表单2_清洗'!AB13</x:f>
        <x:v>0</x:v>
      </x:c>
      <x:c r="M13" s="34" t="n">
        <x:f>'表单2_清洗'!AC13</x:f>
        <x:v>1.3230429988974646</x:v>
      </x:c>
      <x:c r="N13" s="34" t="n">
        <x:f>'表单2_清洗'!AD13</x:f>
        <x:v>0.3207376967024156</x:v>
      </x:c>
      <x:c r="O13" s="34" t="n">
        <x:f>'表单2_清洗'!AE13</x:f>
        <x:v>1.5535732184023257</x:v>
      </x:c>
      <x:c r="P13" s="34" t="n">
        <x:f>'表单2_清洗'!AF13</x:f>
        <x:v>0</x:v>
      </x:c>
      <x:c r="Q13" s="34" t="n">
        <x:f>'表单2_清洗'!AG13</x:f>
        <x:v>0</x:v>
      </x:c>
      <x:c r="R13" s="34" t="n">
        <x:f>'表单2_清洗'!AH13</x:f>
        <x:v>0.35080685576826703</x:v>
      </x:c>
      <x:c r="S13" s="34" t="n">
        <x:f>'表单2_清洗'!AI13</x:f>
        <x:v>0</x:v>
      </x:c>
      <x:c r="T13" s="34" t="n">
        <x:f>'表单2_清洗'!AJ13</x:f>
        <x:v>0</x:v>
      </x:c>
      <x:c r="U13" s="34" t="n">
        <x:f>'表单2_清洗'!AK13</x:f>
        <x:v>0</x:v>
      </x:c>
      <x:c r="V13" s="34" t="n">
        <x:f>'表单2_清洗'!AL13</x:f>
        <x:v>100</x:v>
      </x:c>
    </x:row>
    <x:row r="14">
      <x:c r="A14" s="32" t="str">
        <x:v>10</x:v>
      </x:c>
      <x:c r="B14" s="32" t="str">
        <x:v>10</x:v>
      </x:c>
      <x:c r="C14" s="26" t="str">
        <x:f>'表单2_清洗'!Q14</x:f>
        <x:v>普通采样点</x:v>
      </x:c>
      <x:c r="D14" s="26" t="str">
        <x:f>'表单2_清洗'!R14</x:f>
        <x:v>高钾</x:v>
      </x:c>
      <x:c r="E14" s="26" t="str">
        <x:f>'表单2_清洗'!T14</x:f>
        <x:v>风化</x:v>
      </x:c>
      <x:c r="F14" s="33" t="n">
        <x:f>'表单2_清洗'!U14</x:f>
        <x:v>99.81</x:v>
      </x:c>
      <x:c r="G14" s="39" t="n">
        <x:f>'表单2_清洗'!W14</x:f>
        <x:v>8</x:v>
      </x:c>
      <x:c r="H14" s="34" t="n">
        <x:f>'表单2_清洗'!X14</x:f>
        <x:v>96.95421300470895</x:v>
      </x:c>
      <x:c r="I14" s="34" t="n">
        <x:f>'表单2_清洗'!Y14</x:f>
        <x:v>0</x:v>
      </x:c>
      <x:c r="J14" s="34" t="n">
        <x:f>'表单2_清洗'!Z14</x:f>
        <x:v>0.9217513275222924</x:v>
      </x:c>
      <x:c r="K14" s="34" t="n">
        <x:f>'表单2_清洗'!AA14</x:f>
        <x:v>0.21039975954313195</x:v>
      </x:c>
      <x:c r="L14" s="34" t="n">
        <x:f>'表单2_清洗'!AB14</x:f>
        <x:v>0</x:v>
      </x:c>
      <x:c r="M14" s="34" t="n">
        <x:f>'表单2_清洗'!AC14</x:f>
        <x:v>0.8115419296663661</x:v>
      </x:c>
      <x:c r="N14" s="34" t="n">
        <x:f>'表单2_清洗'!AD14</x:f>
        <x:v>0.2604949403867348</x:v>
      </x:c>
      <x:c r="O14" s="34" t="n">
        <x:f>'表单2_清洗'!AE14</x:f>
        <x:v>0.8415990381725278</x:v>
      </x:c>
      <x:c r="P14" s="34" t="n">
        <x:f>'表单2_清洗'!AF14</x:f>
        <x:v>0</x:v>
      </x:c>
      <x:c r="Q14" s="34" t="n">
        <x:f>'表单2_清洗'!AG14</x:f>
        <x:v>0</x:v>
      </x:c>
      <x:c r="R14" s="34" t="n">
        <x:f>'表单2_清洗'!AH14</x:f>
        <x:v>0</x:v>
      </x:c>
      <x:c r="S14" s="34" t="n">
        <x:f>'表单2_清洗'!AI14</x:f>
        <x:v>0</x:v>
      </x:c>
      <x:c r="T14" s="34" t="n">
        <x:f>'表单2_清洗'!AJ14</x:f>
        <x:v>0</x:v>
      </x:c>
      <x:c r="U14" s="34" t="n">
        <x:f>'表单2_清洗'!AK14</x:f>
        <x:v>0</x:v>
      </x:c>
      <x:c r="V14" s="34" t="n">
        <x:f>'表单2_清洗'!AL14</x:f>
        <x:v>100</x:v>
      </x:c>
    </x:row>
    <x:row r="15">
      <x:c r="A15" s="32" t="str">
        <x:v>11</x:v>
      </x:c>
      <x:c r="B15" s="32" t="str">
        <x:v>11</x:v>
      </x:c>
      <x:c r="C15" s="26" t="str">
        <x:f>'表单2_清洗'!Q15</x:f>
        <x:v>普通采样点</x:v>
      </x:c>
      <x:c r="D15" s="26" t="str">
        <x:f>'表单2_清洗'!R15</x:f>
        <x:v>铅钡</x:v>
      </x:c>
      <x:c r="E15" s="26" t="str">
        <x:f>'表单2_清洗'!T15</x:f>
        <x:v>风化</x:v>
      </x:c>
      <x:c r="F15" s="33" t="n">
        <x:f>'表单2_清洗'!U15</x:f>
        <x:v>95.39</x:v>
      </x:c>
      <x:c r="G15" s="39" t="n">
        <x:f>'表单2_清洗'!W15</x:f>
        <x:v>4</x:v>
      </x:c>
      <x:c r="H15" s="34" t="n">
        <x:f>'表单2_清洗'!X15</x:f>
        <x:v>35.21333473110389</x:v>
      </x:c>
      <x:c r="I15" s="34" t="n">
        <x:f>'表单2_清洗'!Y15</x:f>
        <x:v>0</x:v>
      </x:c>
      <x:c r="J15" s="34" t="n">
        <x:f>'表单2_清洗'!Z15</x:f>
        <x:v>0.22014886256421007</x:v>
      </x:c>
      <x:c r="K15" s="34" t="n">
        <x:f>'表单2_清洗'!AA15</x:f>
        <x:v>3.679630988573226</x:v>
      </x:c>
      <x:c r="L15" s="34" t="n">
        <x:f>'表单2_清洗'!AB15</x:f>
        <x:v>0.7443128210504245</x:v>
      </x:c>
      <x:c r="M15" s="34" t="n">
        <x:f>'表单2_清洗'!AC15</x:f>
        <x:v>2.820002096655834</x:v>
      </x:c>
      <x:c r="N15" s="34" t="n">
        <x:f>'表单2_清洗'!AD15</x:f>
        <x:v>0</x:v>
      </x:c>
      <x:c r="O15" s="34" t="n">
        <x:f>'表单2_清洗'!AE15</x:f>
        <x:v>5.168256630674074</x:v>
      </x:c>
      <x:c r="P15" s="34" t="n">
        <x:f>'表单2_清洗'!AF15</x:f>
        <x:v>26.617045811929973</x:v>
      </x:c>
      <x:c r="Q15" s="34" t="n">
        <x:f>'表单2_清洗'!AG15</x:f>
        <x:v>15.316070866967188</x:v>
      </x:c>
      <x:c r="R15" s="34" t="n">
        <x:f>'表单2_清洗'!AH15</x:f>
        <x:v>9.833315861201385</x:v>
      </x:c>
      <x:c r="S15" s="34" t="n">
        <x:f>'表单2_清洗'!AI15</x:f>
        <x:v>0.38788132927979874</x:v>
      </x:c>
      <x:c r="T15" s="34" t="n">
        <x:f>'表单2_清洗'!AJ15</x:f>
        <x:v>0</x:v>
      </x:c>
      <x:c r="U15" s="34" t="n">
        <x:f>'表单2_清洗'!AK15</x:f>
        <x:v>0</x:v>
      </x:c>
      <x:c r="V15" s="34" t="n">
        <x:f>'表单2_清洗'!AL15</x:f>
        <x:v>100</x:v>
      </x:c>
    </x:row>
    <x:row r="16">
      <x:c r="A16" s="32" t="str">
        <x:v>12</x:v>
      </x:c>
      <x:c r="B16" s="32" t="str">
        <x:v>12</x:v>
      </x:c>
      <x:c r="C16" s="26" t="str">
        <x:f>'表单2_清洗'!Q16</x:f>
        <x:v>普通采样点</x:v>
      </x:c>
      <x:c r="D16" s="26" t="str">
        <x:f>'表单2_清洗'!R16</x:f>
        <x:v>高钾</x:v>
      </x:c>
      <x:c r="E16" s="26" t="str">
        <x:f>'表单2_清洗'!T16</x:f>
        <x:v>风化</x:v>
      </x:c>
      <x:c r="F16" s="33" t="n">
        <x:f>'表单2_清洗'!U16</x:f>
        <x:v>99.57000000000002</x:v>
      </x:c>
      <x:c r="G16" s="39" t="n">
        <x:f>'表单2_清洗'!W16</x:f>
        <x:v>7</x:v>
      </x:c>
      <x:c r="H16" s="34" t="n">
        <x:f>'表单2_清洗'!X16</x:f>
        <x:v>94.6971979511901</x:v>
      </x:c>
      <x:c r="I16" s="34" t="n">
        <x:f>'表单2_清洗'!Y16</x:f>
        <x:v>0</x:v>
      </x:c>
      <x:c r="J16" s="34" t="n">
        <x:f>'表单2_清洗'!Z16</x:f>
        <x:v>1.0143617555488598</x:v>
      </x:c>
      <x:c r="K16" s="34" t="n">
        <x:f>'表单2_清洗'!AA16</x:f>
        <x:v>0.7231093702922565</x:v>
      </x:c>
      <x:c r="L16" s="34" t="n">
        <x:f>'表单2_清洗'!AB16</x:f>
        <x:v>0</x:v>
      </x:c>
      <x:c r="M16" s="34" t="n">
        <x:f>'表单2_清洗'!AC16</x:f>
        <x:v>1.46630511198152</x:v>
      </x:c>
      <x:c r="N16" s="34" t="n">
        <x:f>'表单2_清洗'!AD16</x:f>
        <x:v>0.2912523852566033</x:v>
      </x:c>
      <x:c r="O16" s="34" t="n">
        <x:f>'表单2_清洗'!AE16</x:f>
        <x:v>1.657125640253088</x:v>
      </x:c>
      <x:c r="P16" s="34" t="n">
        <x:f>'表单2_清洗'!AF16</x:f>
        <x:v>0</x:v>
      </x:c>
      <x:c r="Q16" s="34" t="n">
        <x:f>'表单2_清洗'!AG16</x:f>
        <x:v>0</x:v>
      </x:c>
      <x:c r="R16" s="34" t="n">
        <x:f>'表单2_清洗'!AH16</x:f>
        <x:v>0.15064778547755345</x:v>
      </x:c>
      <x:c r="S16" s="34" t="n">
        <x:f>'表单2_清洗'!AI16</x:f>
        <x:v>0</x:v>
      </x:c>
      <x:c r="T16" s="34" t="n">
        <x:f>'表单2_清洗'!AJ16</x:f>
        <x:v>0</x:v>
      </x:c>
      <x:c r="U16" s="34" t="n">
        <x:f>'表单2_清洗'!AK16</x:f>
        <x:v>0</x:v>
      </x:c>
      <x:c r="V16" s="34" t="n">
        <x:f>'表单2_清洗'!AL16</x:f>
        <x:v>100</x:v>
      </x:c>
    </x:row>
    <x:row r="17">
      <x:c r="A17" s="32" t="str">
        <x:v>13</x:v>
      </x:c>
      <x:c r="B17" s="32" t="str">
        <x:v>13</x:v>
      </x:c>
      <x:c r="C17" s="26" t="str">
        <x:f>'表单2_清洗'!Q17</x:f>
        <x:v>普通采样点</x:v>
      </x:c>
      <x:c r="D17" s="26" t="str">
        <x:f>'表单2_清洗'!R17</x:f>
        <x:v>高钾</x:v>
      </x:c>
      <x:c r="E17" s="26" t="str">
        <x:f>'表单2_清洗'!T17</x:f>
        <x:v>无风化</x:v>
      </x:c>
      <x:c r="F17" s="33" t="n">
        <x:f>'表单2_清洗'!U17</x:f>
        <x:v>98.13999999999999</x:v>
      </x:c>
      <x:c r="G17" s="39" t="n">
        <x:f>'表单2_清洗'!W17</x:f>
        <x:v>6</x:v>
      </x:c>
      <x:c r="H17" s="34" t="n">
        <x:f>'表单2_清洗'!X17</x:f>
        <x:v>60.128388017118404</x:v>
      </x:c>
      <x:c r="I17" s="34" t="n">
        <x:f>'表单2_清洗'!Y17</x:f>
        <x:v>2.9142041980843696</x:v>
      </x:c>
      <x:c r="J17" s="34" t="n">
        <x:f>'表单2_清洗'!Z17</x:f>
        <x:v>12.76747503566334</x:v>
      </x:c>
      <x:c r="K17" s="34" t="n">
        <x:f>'表单2_清洗'!AA17</x:f>
        <x:v>8.864886896270633</x:v>
      </x:c>
      <x:c r="L17" s="34" t="n">
        <x:f>'表单2_清洗'!AB17</x:f>
        <x:v>0</x:v>
      </x:c>
      <x:c r="M17" s="34" t="n">
        <x:f>'表单2_清洗'!AC17</x:f>
        <x:v>6.276747503566335</x:v>
      </x:c>
      <x:c r="N17" s="34" t="n">
        <x:f>'表单2_清洗'!AD17</x:f>
        <x:v>2.934583248420624</x:v>
      </x:c>
      <x:c r="O17" s="34" t="n">
        <x:f>'表单2_清洗'!AE17</x:f>
        <x:v>4.819645404524151</x:v>
      </x:c>
      <x:c r="P17" s="34" t="n">
        <x:f>'表单2_清洗'!AF17</x:f>
        <x:v>0</x:v>
      </x:c>
      <x:c r="Q17" s="34" t="n">
        <x:f>'表单2_清洗'!AG17</x:f>
        <x:v>0</x:v>
      </x:c>
      <x:c r="R17" s="34" t="n">
        <x:f>'表单2_清洗'!AH17</x:f>
        <x:v>1.2940696963521503</x:v>
      </x:c>
      <x:c r="S17" s="34" t="n">
        <x:f>'表单2_清洗'!AI17</x:f>
        <x:v>0</x:v>
      </x:c>
      <x:c r="T17" s="34" t="n">
        <x:f>'表单2_清洗'!AJ17</x:f>
        <x:v>0</x:v>
      </x:c>
      <x:c r="U17" s="34" t="n">
        <x:f>'表单2_清洗'!AK17</x:f>
        <x:v>0</x:v>
      </x:c>
      <x:c r="V17" s="34" t="n">
        <x:f>'表单2_清洗'!AL17</x:f>
        <x:v>100.00000000000001</x:v>
      </x:c>
    </x:row>
    <x:row r="18">
      <x:c r="A18" s="32" t="str">
        <x:v>14</x:v>
      </x:c>
      <x:c r="B18" s="32" t="str">
        <x:v>14</x:v>
      </x:c>
      <x:c r="C18" s="26" t="str">
        <x:f>'表单2_清洗'!Q18</x:f>
        <x:v>普通采样点</x:v>
      </x:c>
      <x:c r="D18" s="26" t="str">
        <x:f>'表单2_清洗'!R18</x:f>
        <x:v>高钾</x:v>
      </x:c>
      <x:c r="E18" s="26" t="str">
        <x:f>'表单2_清洗'!T18</x:f>
        <x:v>无风化</x:v>
      </x:c>
      <x:c r="F18" s="33" t="n">
        <x:f>'表单2_清洗'!U18</x:f>
        <x:v>99</x:v>
      </x:c>
      <x:c r="G18" s="39" t="n">
        <x:f>'表单2_清洗'!W18</x:f>
        <x:v>4</x:v>
      </x:c>
      <x:c r="H18" s="34" t="n">
        <x:f>'表单2_清洗'!X18</x:f>
        <x:v>63.101010101010104</x:v>
      </x:c>
      <x:c r="I18" s="34" t="n">
        <x:f>'表单2_清洗'!Y18</x:f>
        <x:v>3.414141414141414</x:v>
      </x:c>
      <x:c r="J18" s="34" t="n">
        <x:f>'表单2_清洗'!Z18</x:f>
        <x:v>12.404040404040403</x:v>
      </x:c>
      <x:c r="K18" s="34" t="n">
        <x:f>'表单2_清洗'!AA18</x:f>
        <x:v>8.313131313131313</x:v>
      </x:c>
      <x:c r="L18" s="34" t="n">
        <x:f>'表单2_清洗'!AB18</x:f>
        <x:v>0.6666666666666667</x:v>
      </x:c>
      <x:c r="M18" s="34" t="n">
        <x:f>'表单2_清洗'!AC18</x:f>
        <x:v>9.323232323232324</x:v>
      </x:c>
      <x:c r="N18" s="34" t="n">
        <x:f>'表单2_清洗'!AD18</x:f>
        <x:v>0.5050505050505051</x:v>
      </x:c>
      <x:c r="O18" s="34" t="n">
        <x:f>'表单2_清洗'!AE18</x:f>
        <x:v>0.4747474747474747</x:v>
      </x:c>
      <x:c r="P18" s="34" t="n">
        <x:f>'表单2_清洗'!AF18</x:f>
        <x:v>1.6363636363636365</x:v>
      </x:c>
      <x:c r="Q18" s="34" t="n">
        <x:f>'表单2_清洗'!AG18</x:f>
        <x:v>0</x:v>
      </x:c>
      <x:c r="R18" s="34" t="n">
        <x:f>'表单2_清洗'!AH18</x:f>
        <x:v>0.1616161616161616</x:v>
      </x:c>
      <x:c r="S18" s="34" t="n">
        <x:f>'表单2_清洗'!AI18</x:f>
        <x:v>0</x:v>
      </x:c>
      <x:c r="T18" s="34" t="n">
        <x:f>'表单2_清洗'!AJ18</x:f>
        <x:v>0</x:v>
      </x:c>
      <x:c r="U18" s="34" t="n">
        <x:f>'表单2_清洗'!AK18</x:f>
        <x:v>0</x:v>
      </x:c>
      <x:c r="V18" s="34" t="n">
        <x:f>'表单2_清洗'!AL18</x:f>
        <x:v>100</x:v>
      </x:c>
    </x:row>
    <x:row r="19">
      <x:c r="A19" s="32" t="str">
        <x:v>16</x:v>
      </x:c>
      <x:c r="B19" s="32" t="str">
        <x:v>16</x:v>
      </x:c>
      <x:c r="C19" s="26" t="str">
        <x:f>'表单2_清洗'!Q20</x:f>
        <x:v>普通采样点</x:v>
      </x:c>
      <x:c r="D19" s="26" t="str">
        <x:f>'表单2_清洗'!R20</x:f>
        <x:v>高钾</x:v>
      </x:c>
      <x:c r="E19" s="26" t="str">
        <x:f>'表单2_清洗'!T20</x:f>
        <x:v>无风化</x:v>
      </x:c>
      <x:c r="F19" s="33" t="n">
        <x:f>'表单2_清洗'!U20</x:f>
        <x:v>98.40999999999998</x:v>
      </x:c>
      <x:c r="G19" s="39" t="n">
        <x:f>'表单2_清洗'!W20</x:f>
        <x:v>4</x:v>
      </x:c>
      <x:c r="H19" s="34" t="n">
        <x:f>'表单2_清洗'!X20</x:f>
        <x:v>66.23310639162689</x:v>
      </x:c>
      <x:c r="I19" s="34" t="n">
        <x:f>'表单2_清洗'!Y20</x:f>
        <x:v>2.1339294787115137</x:v>
      </x:c>
      <x:c r="J19" s="34" t="n">
        <x:f>'表单2_清洗'!Z20</x:f>
        <x:v>14.754598109948178</x:v>
      </x:c>
      <x:c r="K19" s="34" t="n">
        <x:f>'表单2_清洗'!AA20</x:f>
        <x:v>8.403617518544864</x:v>
      </x:c>
      <x:c r="L19" s="34" t="n">
        <x:f>'表单2_清洗'!AB20</x:f>
        <x:v>0.5284015852047557</x:v>
      </x:c>
      <x:c r="M19" s="34" t="n">
        <x:f>'表单2_清洗'!AC20</x:f>
        <x:v>6.279849608779596</x:v>
      </x:c>
      <x:c r="N19" s="34" t="n">
        <x:f>'表单2_清洗'!AD20</x:f>
        <x:v>0.42678589574230263</x:v>
      </x:c>
      <x:c r="O19" s="34" t="n">
        <x:f>'表单2_清洗'!AE20</x:f>
        <x:v>1.0872878772482475</x:v>
      </x:c>
      <x:c r="P19" s="34" t="n">
        <x:f>'表单2_清洗'!AF20</x:f>
        <x:v>0.11177725840869832</x:v>
      </x:c>
      <x:c r="Q19" s="34" t="n">
        <x:f>'表单2_清洗'!AG20</x:f>
        <x:v>0</x:v>
      </x:c>
      <x:c r="R19" s="34" t="n">
        <x:f>'表单2_清洗'!AH20</x:f>
        <x:v>0</x:v>
      </x:c>
      <x:c r="S19" s="34" t="n">
        <x:f>'表单2_清洗'!AI20</x:f>
        <x:v>0.04064627578498121</x:v>
      </x:c>
      <x:c r="T19" s="34" t="n">
        <x:f>'表单2_清洗'!AJ20</x:f>
        <x:v>0</x:v>
      </x:c>
      <x:c r="U19" s="34" t="n">
        <x:f>'表单2_清洗'!AK20</x:f>
        <x:v>0</x:v>
      </x:c>
      <x:c r="V19" s="34" t="n">
        <x:f>'表单2_清洗'!AL20</x:f>
        <x:v>100.00000000000001</x:v>
      </x:c>
    </x:row>
    <x:row r="20">
      <x:c r="A20" s="32" t="str">
        <x:v>18</x:v>
      </x:c>
      <x:c r="B20" s="32" t="str">
        <x:v>18</x:v>
      </x:c>
      <x:c r="C20" s="26" t="str">
        <x:f>'表单2_清洗'!Q22</x:f>
        <x:v>普通采样点</x:v>
      </x:c>
      <x:c r="D20" s="26" t="str">
        <x:f>'表单2_清洗'!R22</x:f>
        <x:v>高钾</x:v>
      </x:c>
      <x:c r="E20" s="26" t="str">
        <x:f>'表单2_清洗'!T22</x:f>
        <x:v>无风化</x:v>
      </x:c>
      <x:c r="F20" s="33" t="n">
        <x:f>'表单2_清洗'!U22</x:f>
        <x:v>97.24999999999999</x:v>
      </x:c>
      <x:c r="G20" s="39" t="n">
        <x:f>'表单2_清洗'!W22</x:f>
        <x:v>7</x:v>
      </x:c>
      <x:c r="H20" s="34" t="n">
        <x:f>'表单2_清洗'!X22</x:f>
        <x:v>81.706940874036</x:v>
      </x:c>
      <x:c r="I20" s="34" t="n">
        <x:f>'表单2_清洗'!Y22</x:f>
        <x:v>0</x:v>
      </x:c>
      <x:c r="J20" s="34" t="n">
        <x:f>'表单2_清洗'!Z22</x:f>
        <x:v>9.686375321336763</x:v>
      </x:c>
      <x:c r="K20" s="34" t="n">
        <x:f>'表单2_清洗'!AA22</x:f>
        <x:v>0</x:v>
      </x:c>
      <x:c r="L20" s="34" t="n">
        <x:f>'表单2_清洗'!AB22</x:f>
        <x:v>1.5732647814910028</x:v>
      </x:c>
      <x:c r="M20" s="34" t="n">
        <x:f>'表单2_清洗'!AC22</x:f>
        <x:v>3.1362467866323915</x:v>
      </x:c>
      <x:c r="N20" s="34" t="n">
        <x:f>'表单2_清洗'!AD22</x:f>
        <x:v>0</x:v>
      </x:c>
      <x:c r="O20" s="34" t="n">
        <x:f>'表单2_清洗'!AE22</x:f>
        <x:v>0</x:v>
      </x:c>
      <x:c r="P20" s="34" t="n">
        <x:f>'表单2_清洗'!AF22</x:f>
        <x:v>0</x:v>
      </x:c>
      <x:c r="Q20" s="34" t="n">
        <x:f>'表单2_清洗'!AG22</x:f>
        <x:v>0</x:v>
      </x:c>
      <x:c r="R20" s="34" t="n">
        <x:f>'表单2_清洗'!AH22</x:f>
        <x:v>1.3984575835475581</x:v>
      </x:c>
      <x:c r="S20" s="34" t="n">
        <x:f>'表单2_清洗'!AI22</x:f>
        <x:v>0.07197943444730079</x:v>
      </x:c>
      <x:c r="T20" s="34" t="n">
        <x:f>'表单2_清洗'!AJ22</x:f>
        <x:v>2.426735218508998</x:v>
      </x:c>
      <x:c r="U20" s="34" t="n">
        <x:f>'表单2_清洗'!AK22</x:f>
        <x:v>0</x:v>
      </x:c>
      <x:c r="V20" s="34" t="n">
        <x:f>'表单2_清洗'!AL22</x:f>
        <x:v>100.00000000000001</x:v>
      </x:c>
    </x:row>
    <x:row r="21">
      <x:c r="A21" s="32" t="str">
        <x:v>19</x:v>
      </x:c>
      <x:c r="B21" s="32" t="str">
        <x:v>19</x:v>
      </x:c>
      <x:c r="C21" s="26" t="str">
        <x:f>'表单2_清洗'!Q23</x:f>
        <x:v>普通采样点</x:v>
      </x:c>
      <x:c r="D21" s="26" t="str">
        <x:f>'表单2_清洗'!R23</x:f>
        <x:v>铅钡</x:v>
      </x:c>
      <x:c r="E21" s="26" t="str">
        <x:f>'表单2_清洗'!T23</x:f>
        <x:v>风化</x:v>
      </x:c>
      <x:c r="F21" s="33" t="n">
        <x:f>'表单2_清洗'!U23</x:f>
        <x:v>98.75999999999999</x:v>
      </x:c>
      <x:c r="G21" s="39" t="n">
        <x:f>'表单2_清洗'!W23</x:f>
        <x:v>4</x:v>
      </x:c>
      <x:c r="H21" s="34" t="n">
        <x:f>'表单2_清洗'!X23</x:f>
        <x:v>30.012150668286758</x:v>
      </x:c>
      <x:c r="I21" s="34" t="n">
        <x:f>'表单2_清洗'!Y23</x:f>
        <x:v>0</x:v>
      </x:c>
      <x:c r="J21" s="34" t="n">
        <x:f>'表单2_清洗'!Z23</x:f>
        <x:v>0</x:v>
      </x:c>
      <x:c r="K21" s="34" t="n">
        <x:f>'表单2_清洗'!AA23</x:f>
        <x:v>2.966788173349535</x:v>
      </x:c>
      <x:c r="L21" s="34" t="n">
        <x:f>'表单2_清洗'!AB23</x:f>
        <x:v>0.5974078574321587</x:v>
      </x:c>
      <x:c r="M21" s="34" t="n">
        <x:f>'表单2_清洗'!AC23</x:f>
        <x:v>3.614823815309842</x:v>
      </x:c>
      <x:c r="N21" s="34" t="n">
        <x:f>'表单2_清洗'!AD23</x:f>
        <x:v>1.346699068448765</x:v>
      </x:c>
      <x:c r="O21" s="34" t="n">
        <x:f>'表单2_清洗'!AE23</x:f>
        <x:v>3.5540704738760636</x:v>
      </x:c>
      <x:c r="P21" s="34" t="n">
        <x:f>'表单2_清洗'!AF23</x:f>
        <x:v>43.357634669906844</x:v>
      </x:c>
      <x:c r="Q21" s="34" t="n">
        <x:f>'表单2_清洗'!AG23</x:f>
        <x:v>5.4171729445119485</x:v>
      </x:c>
      <x:c r="R21" s="34" t="n">
        <x:f>'表单2_清洗'!AH23</x:f>
        <x:v>8.940866747671123</x:v>
      </x:c>
      <x:c r="S21" s="34" t="n">
        <x:f>'表单2_清洗'!AI23</x:f>
        <x:v>0.19238558120696642</x:v>
      </x:c>
      <x:c r="T21" s="34" t="n">
        <x:f>'表单2_清洗'!AJ23</x:f>
        <x:v>0</x:v>
      </x:c>
      <x:c r="U21" s="34" t="n">
        <x:f>'表单2_清洗'!AK23</x:f>
        <x:v>0</x:v>
      </x:c>
      <x:c r="V21" s="34" t="n">
        <x:f>'表单2_清洗'!AL23</x:f>
        <x:v>100</x:v>
      </x:c>
    </x:row>
    <x:row r="22">
      <x:c r="A22" s="32" t="str">
        <x:v>20</x:v>
      </x:c>
      <x:c r="B22" s="32" t="str">
        <x:v>20</x:v>
      </x:c>
      <x:c r="C22" s="26" t="str">
        <x:f>'表单2_清洗'!Q24</x:f>
        <x:v>普通采样点</x:v>
      </x:c>
      <x:c r="D22" s="26" t="str">
        <x:f>'表单2_清洗'!R24</x:f>
        <x:v>铅钡</x:v>
      </x:c>
      <x:c r="E22" s="26" t="str">
        <x:f>'表单2_清洗'!T24</x:f>
        <x:v>无风化</x:v>
      </x:c>
      <x:c r="F22" s="33" t="n">
        <x:f>'表单2_清洗'!U24</x:f>
        <x:v>88.41</x:v>
      </x:c>
      <x:c r="G22" s="39" t="n">
        <x:f>'表单2_清洗'!W24</x:f>
        <x:v>6</x:v>
      </x:c>
      <x:c r="H22" s="34" t="n">
        <x:f>'表单2_清洗'!X24</x:f>
        <x:v>42.25766316027599</x:v>
      </x:c>
      <x:c r="I22" s="34" t="n">
        <x:f>'表单2_清洗'!Y24</x:f>
        <x:v>0</x:v>
      </x:c>
      <x:c r="J22" s="34" t="n">
        <x:f>'表单2_清洗'!Z24</x:f>
        <x:v>0.8030765750480715</x:v>
      </x:c>
      <x:c r="K22" s="34" t="n">
        <x:f>'表单2_清洗'!AA24</x:f>
        <x:v>0</x:v>
      </x:c>
      <x:c r="L22" s="34" t="n">
        <x:f>'表单2_清洗'!AB24</x:f>
        <x:v>0</x:v>
      </x:c>
      <x:c r="M22" s="34" t="n">
        <x:f>'表单2_清洗'!AC24</x:f>
        <x:v>6.164461033819705</x:v>
      </x:c>
      <x:c r="N22" s="34" t="n">
        <x:f>'表单2_清洗'!AD24</x:f>
        <x:v>1.7079515891867438</x:v>
      </x:c>
      <x:c r="O22" s="34" t="n">
        <x:f>'表单2_清洗'!AE24</x:f>
        <x:v>5.4066282094785665</x:v>
      </x:c>
      <x:c r="P22" s="34" t="n">
        <x:f>'表单2_清洗'!AF24</x:f>
        <x:v>10.519172039362063</x:v>
      </x:c>
      <x:c r="Q22" s="34" t="n">
        <x:f>'表单2_清洗'!AG24</x:f>
        <x:v>26.63725822870716</x:v>
      </x:c>
      <x:c r="R22" s="34" t="n">
        <x:f>'表单2_清洗'!AH24</x:f>
        <x:v>6.503789164121707</x:v>
      </x:c>
      <x:c r="S22" s="34" t="n">
        <x:f>'表单2_清洗'!AI24</x:f>
        <x:v>0</x:v>
      </x:c>
      <x:c r="T22" s="34" t="n">
        <x:f>'表单2_清洗'!AJ24</x:f>
        <x:v>0</x:v>
      </x:c>
      <x:c r="U22" s="34" t="n">
        <x:f>'表单2_清洗'!AK24</x:f>
        <x:v>0</x:v>
      </x:c>
      <x:c r="V22" s="34" t="n">
        <x:f>'表单2_清洗'!AL24</x:f>
        <x:v>100.00000000000003</x:v>
      </x:c>
    </x:row>
    <x:row r="23">
      <x:c r="A23" s="32" t="str">
        <x:v>21</x:v>
      </x:c>
      <x:c r="B23" s="32" t="str">
        <x:v>21</x:v>
      </x:c>
      <x:c r="C23" s="26" t="str">
        <x:f>'表单2_清洗'!Q25</x:f>
        <x:v>普通采样点</x:v>
      </x:c>
      <x:c r="D23" s="26" t="str">
        <x:f>'表单2_清洗'!R25</x:f>
        <x:v>高钾</x:v>
      </x:c>
      <x:c r="E23" s="26" t="str">
        <x:f>'表单2_清洗'!T25</x:f>
        <x:v>无风化</x:v>
      </x:c>
      <x:c r="F23" s="33" t="n">
        <x:f>'表单2_清洗'!U25</x:f>
        <x:v>98.52</x:v>
      </x:c>
      <x:c r="G23" s="39" t="n">
        <x:f>'表单2_清洗'!W25</x:f>
        <x:v>5</x:v>
      </x:c>
      <x:c r="H23" s="34" t="n">
        <x:f>'表单2_清洗'!X25</x:f>
        <x:v>77.83191230207066</x:v>
      </x:c>
      <x:c r="I23" s="34" t="n">
        <x:f>'表单2_清洗'!Y25</x:f>
        <x:v>0</x:v>
      </x:c>
      <x:c r="J23" s="34" t="n">
        <x:f>'表单2_清洗'!Z25</x:f>
        <x:v>0</x:v>
      </x:c>
      <x:c r="K23" s="34" t="n">
        <x:f>'表单2_清洗'!AA25</x:f>
        <x:v>4.780755176613885</x:v>
      </x:c>
      <x:c r="L23" s="34" t="n">
        <x:f>'表单2_清洗'!AB25</x:f>
        <x:v>1.2383272431993504</x:v>
      </x:c>
      <x:c r="M23" s="34" t="n">
        <x:f>'表单2_清洗'!AC25</x:f>
        <x:v>6.282988225740967</x:v>
      </x:c>
      <x:c r="N23" s="34" t="n">
        <x:f>'表单2_清洗'!AD25</x:f>
        <x:v>2.405602923264312</x:v>
      </x:c>
      <x:c r="O23" s="34" t="n">
        <x:f>'表单2_清洗'!AE25</x:f>
        <x:v>3.329273244011368</x:v>
      </x:c>
      <x:c r="P23" s="34" t="n">
        <x:f>'表单2_清洗'!AF25</x:f>
        <x:v>1.0150223304912709</x:v>
      </x:c>
      <x:c r="Q23" s="34" t="n">
        <x:f>'表单2_清洗'!AG25</x:f>
        <x:v>1.9995939910678033</x:v>
      </x:c>
      <x:c r="R23" s="34" t="n">
        <x:f>'表单2_清洗'!AH25</x:f>
        <x:v>1.116524563540398</x:v>
      </x:c>
      <x:c r="S23" s="34" t="n">
        <x:f>'表单2_清洗'!AI25</x:f>
        <x:v>0</x:v>
      </x:c>
      <x:c r="T23" s="34" t="n">
        <x:f>'表单2_清洗'!AJ25</x:f>
        <x:v>0</x:v>
      </x:c>
      <x:c r="U23" s="34" t="n">
        <x:f>'表单2_清洗'!AK25</x:f>
        <x:v>0</x:v>
      </x:c>
      <x:c r="V23" s="34" t="n">
        <x:f>'表单2_清洗'!AL25</x:f>
        <x:v>100.00000000000001</x:v>
      </x:c>
    </x:row>
    <x:row r="24">
      <x:c r="A24" s="32" t="str">
        <x:v>22</x:v>
      </x:c>
      <x:c r="B24" s="32" t="str">
        <x:v>22</x:v>
      </x:c>
      <x:c r="C24" s="26" t="str">
        <x:f>'表单2_清洗'!Q26</x:f>
        <x:v>普通采样点</x:v>
      </x:c>
      <x:c r="D24" s="26" t="str">
        <x:f>'表单2_清洗'!R26</x:f>
        <x:v>高钾</x:v>
      </x:c>
      <x:c r="E24" s="26" t="str">
        <x:f>'表单2_清洗'!T26</x:f>
        <x:v>风化</x:v>
      </x:c>
      <x:c r="F24" s="33" t="n">
        <x:f>'表单2_清洗'!U26</x:f>
        <x:v>99.99999999999997</x:v>
      </x:c>
      <x:c r="G24" s="39" t="n">
        <x:f>'表单2_清洗'!W26</x:f>
        <x:v>6</x:v>
      </x:c>
      <x:c r="H24" s="34" t="n">
        <x:f>'表单2_清洗'!X26</x:f>
        <x:v>92.35000000000002</x:v>
      </x:c>
      <x:c r="I24" s="34" t="n">
        <x:f>'表单2_清洗'!Y26</x:f>
        <x:v>0</x:v>
      </x:c>
      <x:c r="J24" s="34" t="n">
        <x:f>'表单2_清洗'!Z26</x:f>
        <x:v>0.7400000000000002</x:v>
      </x:c>
      <x:c r="K24" s="34" t="n">
        <x:f>'表单2_清洗'!AA26</x:f>
        <x:v>1.6600000000000004</x:v>
      </x:c>
      <x:c r="L24" s="34" t="n">
        <x:f>'表单2_清洗'!AB26</x:f>
        <x:v>0.6400000000000002</x:v>
      </x:c>
      <x:c r="M24" s="34" t="n">
        <x:f>'表单2_清洗'!AC26</x:f>
        <x:v>3.500000000000001</x:v>
      </x:c>
      <x:c r="N24" s="34" t="n">
        <x:f>'表单2_清洗'!AD26</x:f>
        <x:v>0.3500000000000001</x:v>
      </x:c>
      <x:c r="O24" s="34" t="n">
        <x:f>'表单2_清洗'!AE26</x:f>
        <x:v>0.5500000000000003</x:v>
      </x:c>
      <x:c r="P24" s="34" t="n">
        <x:f>'表单2_清洗'!AF26</x:f>
        <x:v>0</x:v>
      </x:c>
      <x:c r="Q24" s="34" t="n">
        <x:f>'表单2_清洗'!AG26</x:f>
        <x:v>0</x:v>
      </x:c>
      <x:c r="R24" s="34" t="n">
        <x:f>'表单2_清洗'!AH26</x:f>
        <x:v>0.21000000000000002</x:v>
      </x:c>
      <x:c r="S24" s="34" t="n">
        <x:f>'表单2_清洗'!AI26</x:f>
        <x:v>0</x:v>
      </x:c>
      <x:c r="T24" s="34" t="n">
        <x:f>'表单2_清洗'!AJ26</x:f>
        <x:v>0</x:v>
      </x:c>
      <x:c r="U24" s="34" t="n">
        <x:f>'表单2_清洗'!AK26</x:f>
        <x:v>0</x:v>
      </x:c>
      <x:c r="V24" s="34" t="n">
        <x:f>'表单2_清洗'!AL26</x:f>
        <x:v>100</x:v>
      </x:c>
    </x:row>
    <x:row r="25">
      <x:c r="A25" s="32" t="str">
        <x:v>23未风化点</x:v>
      </x:c>
      <x:c r="B25" s="32" t="str">
        <x:v>23</x:v>
      </x:c>
      <x:c r="C25" s="26" t="str">
        <x:f>'表单2_清洗'!Q27</x:f>
        <x:v>未风化点</x:v>
      </x:c>
      <x:c r="D25" s="26" t="str">
        <x:f>'表单2_清洗'!R27</x:f>
        <x:v>铅钡</x:v>
      </x:c>
      <x:c r="E25" s="26" t="str">
        <x:f>'表单2_清洗'!T27</x:f>
        <x:v>无风化</x:v>
      </x:c>
      <x:c r="F25" s="33" t="n">
        <x:f>'表单2_清洗'!U27</x:f>
        <x:v>96.5</x:v>
      </x:c>
      <x:c r="G25" s="39" t="n">
        <x:f>'表单2_清洗'!W27</x:f>
        <x:v>5</x:v>
      </x:c>
      <x:c r="H25" s="34" t="n">
        <x:f>'表单2_清洗'!X27</x:f>
        <x:v>55.74093264248705</x:v>
      </x:c>
      <x:c r="I25" s="34" t="n">
        <x:f>'表单2_清洗'!Y27</x:f>
        <x:v>8.207253886010363</x:v>
      </x:c>
      <x:c r="J25" s="34" t="n">
        <x:f>'表单2_清洗'!Z27</x:f>
        <x:v>0</x:v>
      </x:c>
      <x:c r="K25" s="34" t="n">
        <x:f>'表单2_清洗'!AA27</x:f>
        <x:v>0.5181347150259068</x:v>
      </x:c>
      <x:c r="L25" s="34" t="n">
        <x:f>'表单2_清洗'!AB27</x:f>
        <x:v>0.7357512953367875</x:v>
      </x:c>
      <x:c r="M25" s="34" t="n">
        <x:f>'表单2_清洗'!AC27</x:f>
        <x:v>1.471502590673575</x:v>
      </x:c>
      <x:c r="N25" s="34" t="n">
        <x:f>'表单2_清洗'!AD27</x:f>
        <x:v>0</x:v>
      </x:c>
      <x:c r="O25" s="34" t="n">
        <x:f>'表单2_清洗'!AE27</x:f>
        <x:v>3.098445595854922</x:v>
      </x:c>
      <x:c r="P25" s="34" t="n">
        <x:f>'表单2_清洗'!AF27</x:f>
        <x:v>17.595854922279795</x:v>
      </x:c>
      <x:c r="Q25" s="34" t="n">
        <x:f>'表单2_清洗'!AG27</x:f>
        <x:v>12.290155440414507</x:v>
      </x:c>
      <x:c r="R25" s="34" t="n">
        <x:f>'表单2_清洗'!AH27</x:f>
        <x:v>0</x:v>
      </x:c>
      <x:c r="S25" s="34" t="n">
        <x:f>'表单2_清洗'!AI27</x:f>
        <x:v>0.3419689119170985</x:v>
      </x:c>
      <x:c r="T25" s="34" t="n">
        <x:f>'表单2_清洗'!AJ27</x:f>
        <x:v>0</x:v>
      </x:c>
      <x:c r="U25" s="34" t="n">
        <x:f>'表单2_清洗'!AK27</x:f>
        <x:v>0</x:v>
      </x:c>
      <x:c r="V25" s="34" t="n">
        <x:f>'表单2_清洗'!AL27</x:f>
        <x:v>100.00000000000001</x:v>
      </x:c>
    </x:row>
    <x:row r="26">
      <x:c r="A26" s="32" t="str">
        <x:v>24</x:v>
      </x:c>
      <x:c r="B26" s="32" t="str">
        <x:v>24</x:v>
      </x:c>
      <x:c r="C26" s="26" t="str">
        <x:f>'表单2_清洗'!Q28</x:f>
        <x:v>普通采样点</x:v>
      </x:c>
      <x:c r="D26" s="26" t="str">
        <x:f>'表单2_清洗'!R28</x:f>
        <x:v>铅钡</x:v>
      </x:c>
      <x:c r="E26" s="26" t="str">
        <x:f>'表单2_清洗'!T28</x:f>
        <x:v>无风化</x:v>
      </x:c>
      <x:c r="F26" s="33" t="n">
        <x:f>'表单2_清洗'!U28</x:f>
        <x:v>98.88000000000001</x:v>
      </x:c>
      <x:c r="G26" s="39" t="n">
        <x:f>'表单2_清洗'!W28</x:f>
        <x:v>6</x:v>
      </x:c>
      <x:c r="H26" s="34" t="n">
        <x:f>'表单2_清洗'!X28</x:f>
        <x:v>32.30177993527508</x:v>
      </x:c>
      <x:c r="I26" s="34" t="n">
        <x:f>'表单2_清洗'!Y28</x:f>
        <x:v>0</x:v>
      </x:c>
      <x:c r="J26" s="34" t="n">
        <x:f>'表单2_清洗'!Z28</x:f>
        <x:v>0</x:v>
      </x:c>
      <x:c r="K26" s="34" t="n">
        <x:f>'表单2_清洗'!AA28</x:f>
        <x:v>0.4753236245954692</x:v>
      </x:c>
      <x:c r="L26" s="34" t="n">
        <x:f>'表单2_清洗'!AB28</x:f>
        <x:v>0</x:v>
      </x:c>
      <x:c r="M26" s="34" t="n">
        <x:f>'表单2_清洗'!AC28</x:f>
        <x:v>1.608009708737864</x:v>
      </x:c>
      <x:c r="N26" s="34" t="n">
        <x:f>'表单2_清洗'!AD28</x:f>
        <x:v>0</x:v>
      </x:c>
      <x:c r="O26" s="34" t="n">
        <x:f>'表单2_清洗'!AE28</x:f>
        <x:v>8.555825242718447</x:v>
      </x:c>
      <x:c r="P26" s="34" t="n">
        <x:f>'表单2_清洗'!AF28</x:f>
        <x:v>29.470064724919094</x:v>
      </x:c>
      <x:c r="Q26" s="34" t="n">
        <x:f>'表单2_清洗'!AG28</x:f>
        <x:v>26.527103559870547</x:v>
      </x:c>
      <x:c r="R26" s="34" t="n">
        <x:f>'表单2_清洗'!AH28</x:f>
        <x:v>0.14158576051779936</x:v>
      </x:c>
      <x:c r="S26" s="34" t="n">
        <x:f>'表单2_清洗'!AI28</x:f>
        <x:v>0.9203074433656958</x:v>
      </x:c>
      <x:c r="T26" s="34" t="n">
        <x:f>'表单2_清洗'!AJ28</x:f>
        <x:v>0</x:v>
      </x:c>
      <x:c r="U26" s="34" t="n">
        <x:f>'表单2_清洗'!AK28</x:f>
        <x:v>0</x:v>
      </x:c>
      <x:c r="V26" s="34" t="n">
        <x:f>'表单2_清洗'!AL28</x:f>
        <x:v>100</x:v>
      </x:c>
    </x:row>
    <x:row r="27">
      <x:c r="A27" s="32" t="str">
        <x:v>25未风化点</x:v>
      </x:c>
      <x:c r="B27" s="32" t="str">
        <x:v>25</x:v>
      </x:c>
      <x:c r="C27" s="26" t="str">
        <x:f>'表单2_清洗'!Q29</x:f>
        <x:v>未风化点</x:v>
      </x:c>
      <x:c r="D27" s="26" t="str">
        <x:f>'表单2_清洗'!R29</x:f>
        <x:v>铅钡</x:v>
      </x:c>
      <x:c r="E27" s="26" t="str">
        <x:f>'表单2_清洗'!T29</x:f>
        <x:v>无风化</x:v>
      </x:c>
      <x:c r="F27" s="33" t="n">
        <x:f>'表单2_清洗'!U29</x:f>
        <x:v>97.06</x:v>
      </x:c>
      <x:c r="G27" s="39" t="n">
        <x:f>'表单2_清洗'!W29</x:f>
        <x:v>4</x:v>
      </x:c>
      <x:c r="H27" s="34" t="n">
        <x:f>'表单2_清洗'!X29</x:f>
        <x:v>52.143004327220275</x:v>
      </x:c>
      <x:c r="I27" s="34" t="n">
        <x:f>'表单2_清洗'!Y29</x:f>
        <x:v>2.379971151864826</x:v>
      </x:c>
      <x:c r="J27" s="34" t="n">
        <x:f>'表单2_清洗'!Z29</x:f>
        <x:v>0</x:v>
      </x:c>
      <x:c r="K27" s="34" t="n">
        <x:f>'表单2_清洗'!AA29</x:f>
        <x:v>0.6490830414176797</x:v>
      </x:c>
      <x:c r="L27" s="34" t="n">
        <x:f>'表单2_清洗'!AB29</x:f>
        <x:v>0</x:v>
      </x:c>
      <x:c r="M27" s="34" t="n">
        <x:f>'表单2_清洗'!AC29</x:f>
        <x:v>1.9575520296723676</x:v>
      </x:c>
      <x:c r="N27" s="34" t="n">
        <x:f>'表单2_清洗'!AD29</x:f>
        <x:v>1.5969503399958789</x:v>
      </x:c>
      <x:c r="O27" s="34" t="n">
        <x:f>'表单2_清洗'!AE29</x:f>
        <x:v>1.153925406964764</x:v>
      </x:c>
      <x:c r="P27" s="34" t="n">
        <x:f>'表单2_清洗'!AF29</x:f>
        <x:v>32.86626828765712</x:v>
      </x:c>
      <x:c r="Q27" s="34" t="n">
        <x:f>'表单2_清洗'!AG29</x:f>
        <x:v>6.851432103853288</x:v>
      </x:c>
      <x:c r="R27" s="34" t="n">
        <x:f>'表单2_清洗'!AH29</x:f>
        <x:v>0.19575520296723675</x:v>
      </x:c>
      <x:c r="S27" s="34" t="n">
        <x:f>'表单2_清洗'!AI29</x:f>
        <x:v>0.20605810838656502</x:v>
      </x:c>
      <x:c r="T27" s="34" t="n">
        <x:f>'表单2_清洗'!AJ29</x:f>
        <x:v>0</x:v>
      </x:c>
      <x:c r="U27" s="34" t="n">
        <x:f>'表单2_清洗'!AK29</x:f>
        <x:v>0</x:v>
      </x:c>
      <x:c r="V27" s="34" t="n">
        <x:f>'表单2_清洗'!AL29</x:f>
        <x:v>100.00000000000001</x:v>
      </x:c>
    </x:row>
    <x:row r="28">
      <x:c r="A28" s="32" t="str">
        <x:v>26</x:v>
      </x:c>
      <x:c r="B28" s="32" t="str">
        <x:v>26</x:v>
      </x:c>
      <x:c r="C28" s="26" t="str">
        <x:f>'表单2_清洗'!Q30</x:f>
        <x:v>普通采样点</x:v>
      </x:c>
      <x:c r="D28" s="26" t="str">
        <x:f>'表单2_清洗'!R30</x:f>
        <x:v>铅钡</x:v>
      </x:c>
      <x:c r="E28" s="26" t="str">
        <x:f>'表单2_清洗'!T30</x:f>
        <x:v>风化</x:v>
      </x:c>
      <x:c r="F28" s="33" t="n">
        <x:f>'表单2_清洗'!U30</x:f>
        <x:v>99.82</x:v>
      </x:c>
      <x:c r="G28" s="39" t="n">
        <x:f>'表单2_清洗'!W30</x:f>
        <x:v>5</x:v>
      </x:c>
      <x:c r="H28" s="34" t="n">
        <x:f>'表单2_清洗'!X30</x:f>
        <x:v>19.8256862352234</x:v>
      </x:c>
      <x:c r="I28" s="34" t="n">
        <x:f>'表单2_清洗'!Y30</x:f>
        <x:v>0</x:v>
      </x:c>
      <x:c r="J28" s="34" t="n">
        <x:f>'表单2_清洗'!Z30</x:f>
        <x:v>0</x:v>
      </x:c>
      <x:c r="K28" s="34" t="n">
        <x:f>'表单2_清洗'!AA30</x:f>
        <x:v>1.442596674013224</x:v>
      </x:c>
      <x:c r="L28" s="34" t="n">
        <x:f>'表单2_清洗'!AB30</x:f>
        <x:v>0</x:v>
      </x:c>
      <x:c r="M28" s="34" t="n">
        <x:f>'表单2_清洗'!AC30</x:f>
        <x:v>0.7012622720897616</x:v>
      </x:c>
      <x:c r="N28" s="34" t="n">
        <x:f>'表单2_清洗'!AD30</x:f>
        <x:v>0</x:v>
      </x:c>
      <x:c r="O28" s="34" t="n">
        <x:f>'表单2_清洗'!AE30</x:f>
        <x:v>10.589060308555402</x:v>
      </x:c>
      <x:c r="P28" s="34" t="n">
        <x:f>'表单2_清洗'!AF30</x:f>
        <x:v>29.583249849729516</x:v>
      </x:c>
      <x:c r="Q28" s="34" t="n">
        <x:f>'表单2_清洗'!AG30</x:f>
        <x:v>32.30815467842116</x:v>
      </x:c>
      <x:c r="R28" s="34" t="n">
        <x:f>'表单2_清洗'!AH30</x:f>
        <x:v>3.135644159487077</x:v>
      </x:c>
      <x:c r="S28" s="34" t="n">
        <x:f>'表单2_清洗'!AI30</x:f>
        <x:v>0.4508114606291325</x:v>
      </x:c>
      <x:c r="T28" s="34" t="n">
        <x:f>'表单2_清洗'!AJ30</x:f>
        <x:v>0</x:v>
      </x:c>
      <x:c r="U28" s="34" t="n">
        <x:f>'表单2_清洗'!AK30</x:f>
        <x:v>1.9635343618513323</x:v>
      </x:c>
      <x:c r="V28" s="34" t="n">
        <x:f>'表单2_清洗'!AL30</x:f>
        <x:v>99.99999999999999</x:v>
      </x:c>
    </x:row>
    <x:row r="29">
      <x:c r="A29" s="32" t="str">
        <x:v>26严重风化点</x:v>
      </x:c>
      <x:c r="B29" s="32" t="str">
        <x:v>26</x:v>
      </x:c>
      <x:c r="C29" s="26" t="str">
        <x:f>'表单2_清洗'!Q31</x:f>
        <x:v>严重风化点</x:v>
      </x:c>
      <x:c r="D29" s="26" t="str">
        <x:f>'表单2_清洗'!R31</x:f>
        <x:v>铅钡</x:v>
      </x:c>
      <x:c r="E29" s="26" t="str">
        <x:f>'表单2_清洗'!T31</x:f>
        <x:v>风化</x:v>
      </x:c>
      <x:c r="F29" s="33" t="n">
        <x:f>'表单2_清洗'!U31</x:f>
        <x:v>99.89000000000001</x:v>
      </x:c>
      <x:c r="G29" s="39" t="n">
        <x:f>'表单2_清洗'!W31</x:f>
        <x:v>4</x:v>
      </x:c>
      <x:c r="H29" s="34" t="n">
        <x:f>'表单2_清洗'!X31</x:f>
        <x:v>3.7240965061567723</x:v>
      </x:c>
      <x:c r="I29" s="34" t="n">
        <x:f>'表单2_清洗'!Y31</x:f>
        <x:v>0</x:v>
      </x:c>
      <x:c r="J29" s="34" t="n">
        <x:f>'表单2_清洗'!Z31</x:f>
        <x:v>0.4004404845329862</x:v>
      </x:c>
      <x:c r="K29" s="34" t="n">
        <x:f>'表单2_清洗'!AA31</x:f>
        <x:v>3.013314646110721</x:v>
      </x:c>
      <x:c r="L29" s="34" t="n">
        <x:f>'表单2_清洗'!AB31</x:f>
        <x:v>0</x:v>
      </x:c>
      <x:c r="M29" s="34" t="n">
        <x:f>'表单2_清洗'!AC31</x:f>
        <x:v>1.1812994293723094</x:v>
      </x:c>
      <x:c r="N29" s="34" t="n">
        <x:f>'表单2_清洗'!AD31</x:f>
        <x:v>0</x:v>
      </x:c>
      <x:c r="O29" s="34" t="n">
        <x:f>'表单2_清洗'!AE31</x:f>
        <x:v>3.6039643607968763</x:v>
      </x:c>
      <x:c r="P29" s="34" t="n">
        <x:f>'表单2_清洗'!AF31</x:f>
        <x:v>29.95294824306737</x:v>
      </x:c>
      <x:c r="Q29" s="34" t="n">
        <x:f>'表单2_清洗'!AG31</x:f>
        <x:v>35.48903794173591</x:v>
      </x:c>
      <x:c r="R29" s="34" t="n">
        <x:f>'表单2_清洗'!AH31</x:f>
        <x:v>6.046651316448092</x:v>
      </x:c>
      <x:c r="S29" s="34" t="n">
        <x:f>'表单2_清洗'!AI31</x:f>
        <x:v>0.6206827510261286</x:v>
      </x:c>
      <x:c r="T29" s="34" t="n">
        <x:f>'表单2_清洗'!AJ31</x:f>
        <x:v>0</x:v>
      </x:c>
      <x:c r="U29" s="34" t="n">
        <x:f>'表单2_清洗'!AK31</x:f>
        <x:v>15.967564320752825</x:v>
      </x:c>
      <x:c r="V29" s="34" t="n">
        <x:f>'表单2_清洗'!AL31</x:f>
        <x:v>100</x:v>
      </x:c>
    </x:row>
    <x:row r="30">
      <x:c r="A30" s="32" t="str">
        <x:v>27</x:v>
      </x:c>
      <x:c r="B30" s="32" t="str">
        <x:v>27</x:v>
      </x:c>
      <x:c r="C30" s="26" t="str">
        <x:f>'表单2_清洗'!Q32</x:f>
        <x:v>普通采样点</x:v>
      </x:c>
      <x:c r="D30" s="26" t="str">
        <x:f>'表单2_清洗'!R32</x:f>
        <x:v>高钾</x:v>
      </x:c>
      <x:c r="E30" s="26" t="str">
        <x:f>'表单2_清洗'!T32</x:f>
        <x:v>风化</x:v>
      </x:c>
      <x:c r="F30" s="33" t="n">
        <x:f>'表单2_清洗'!U32</x:f>
        <x:v>98.81000000000002</x:v>
      </x:c>
      <x:c r="G30" s="39" t="n">
        <x:f>'表单2_清洗'!W32</x:f>
        <x:v>7</x:v>
      </x:c>
      <x:c r="H30" s="34" t="n">
        <x:f>'表单2_清洗'!X32</x:f>
        <x:v>93.83665620888573</x:v>
      </x:c>
      <x:c r="I30" s="34" t="n">
        <x:f>'表单2_清洗'!Y32</x:f>
        <x:v>0</x:v>
      </x:c>
      <x:c r="J30" s="34" t="n">
        <x:f>'表单2_清洗'!Z32</x:f>
        <x:v>0</x:v>
      </x:c>
      <x:c r="K30" s="34" t="n">
        <x:f>'表单2_清洗'!AA32</x:f>
        <x:v>0.951320716526667</x:v>
      </x:c>
      <x:c r="L30" s="34" t="n">
        <x:f>'表单2_清洗'!AB32</x:f>
        <x:v>0.5465033903451066</x:v>
      </x:c>
      <x:c r="M30" s="34" t="n">
        <x:f>'表单2_清洗'!AC32</x:f>
        <x:v>2.540228721789292</x:v>
      </x:c>
      <x:c r="N30" s="34" t="n">
        <x:f>'表单2_清洗'!AD32</x:f>
        <x:v>0.20240866309078026</x:v>
      </x:c>
      <x:c r="O30" s="34" t="n">
        <x:f>'表单2_清洗'!AE32</x:f>
        <x:v>1.5585467057990081</x:v>
      </x:c>
      <x:c r="P30" s="34" t="n">
        <x:f>'表单2_清洗'!AF32</x:f>
        <x:v>0</x:v>
      </x:c>
      <x:c r="Q30" s="34" t="n">
        <x:f>'表单2_清洗'!AG32</x:f>
        <x:v>0</x:v>
      </x:c>
      <x:c r="R30" s="34" t="n">
        <x:f>'表单2_清洗'!AH32</x:f>
        <x:v>0.36433559356340445</x:v>
      </x:c>
      <x:c r="S30" s="34" t="n">
        <x:f>'表单2_清洗'!AI32</x:f>
        <x:v>0</x:v>
      </x:c>
      <x:c r="T30" s="34" t="n">
        <x:f>'表单2_清洗'!AJ32</x:f>
        <x:v>0</x:v>
      </x:c>
      <x:c r="U30" s="34" t="n">
        <x:f>'表单2_清洗'!AK32</x:f>
        <x:v>0</x:v>
      </x:c>
      <x:c r="V30" s="34" t="n">
        <x:f>'表单2_清洗'!AL32</x:f>
        <x:v>99.99999999999999</x:v>
      </x:c>
    </x:row>
    <x:row r="31">
      <x:c r="A31" s="32" t="str">
        <x:v>28未风化点</x:v>
      </x:c>
      <x:c r="B31" s="32" t="str">
        <x:v>28</x:v>
      </x:c>
      <x:c r="C31" s="26" t="str">
        <x:f>'表单2_清洗'!Q33</x:f>
        <x:v>未风化点</x:v>
      </x:c>
      <x:c r="D31" s="26" t="str">
        <x:f>'表单2_清洗'!R33</x:f>
        <x:v>铅钡</x:v>
      </x:c>
      <x:c r="E31" s="26" t="str">
        <x:f>'表单2_清洗'!T33</x:f>
        <x:v>无风化</x:v>
      </x:c>
      <x:c r="F31" s="33" t="n">
        <x:f>'表单2_清洗'!U33</x:f>
        <x:v>98.69000000000003</x:v>
      </x:c>
      <x:c r="G31" s="39" t="n">
        <x:f>'表单2_清洗'!W33</x:f>
        <x:v>2</x:v>
      </x:c>
      <x:c r="H31" s="34" t="n">
        <x:f>'表单2_清洗'!X33</x:f>
        <x:v>68.98368629040428</x:v>
      </x:c>
      <x:c r="I31" s="34" t="n">
        <x:f>'表单2_清洗'!Y33</x:f>
        <x:v>0</x:v>
      </x:c>
      <x:c r="J31" s="34" t="n">
        <x:f>'表单2_清洗'!Z33</x:f>
        <x:v>0.26345121086229606</x:v>
      </x:c>
      <x:c r="K31" s="34" t="n">
        <x:f>'表单2_清洗'!AA33</x:f>
        <x:v>1.3577870098287566</x:v>
      </x:c>
      <x:c r="L31" s="34" t="n">
        <x:f>'表单2_清洗'!AB33</x:f>
        <x:v>1.0132738879319079</x:v>
      </x:c>
      <x:c r="M31" s="34" t="n">
        <x:f>'表单2_清洗'!AC33</x:f>
        <x:v>4.762387273279966</x:v>
      </x:c>
      <x:c r="N31" s="34" t="n">
        <x:f>'表单2_清洗'!AD33</x:f>
        <x:v>0.41544229405208216</x:v>
      </x:c>
      <x:c r="O31" s="34" t="n">
        <x:f>'表单2_清洗'!AE33</x:f>
        <x:v>0.33438038301752954</x:v>
      </x:c>
      <x:c r="P31" s="34" t="n">
        <x:f>'表单2_清洗'!AF33</x:f>
        <x:v>17.3675144391529</x:v>
      </x:c>
      <x:c r="Q31" s="34" t="n">
        <x:f>'表单2_清洗'!AG33</x:f>
        <x:v>4.093626507244908</x:v>
      </x:c>
      <x:c r="R31" s="34" t="n">
        <x:f>'表单2_清洗'!AH33</x:f>
        <x:v>1.0538048434491842</x:v>
      </x:c>
      <x:c r="S31" s="34" t="n">
        <x:f>'表单2_清洗'!AI33</x:f>
        <x:v>0.12159286655182891</x:v>
      </x:c>
      <x:c r="T31" s="34" t="n">
        <x:f>'表单2_清洗'!AJ33</x:f>
        <x:v>0.23305299422433878</x:v>
      </x:c>
      <x:c r="U31" s="34" t="n">
        <x:f>'表单2_清洗'!AK33</x:f>
        <x:v>0</x:v>
      </x:c>
      <x:c r="V31" s="34" t="n">
        <x:f>'表单2_清洗'!AL33</x:f>
        <x:v>99.99999999999997</x:v>
      </x:c>
    </x:row>
    <x:row r="32">
      <x:c r="A32" s="32" t="str">
        <x:v>29未风化点</x:v>
      </x:c>
      <x:c r="B32" s="32" t="str">
        <x:v>29</x:v>
      </x:c>
      <x:c r="C32" s="26" t="str">
        <x:f>'表单2_清洗'!Q34</x:f>
        <x:v>未风化点</x:v>
      </x:c>
      <x:c r="D32" s="26" t="str">
        <x:f>'表单2_清洗'!R34</x:f>
        <x:v>铅钡</x:v>
      </x:c>
      <x:c r="E32" s="26" t="str">
        <x:f>'表单2_清洗'!T34</x:f>
        <x:v>无风化</x:v>
      </x:c>
      <x:c r="F32" s="33" t="n">
        <x:f>'表单2_清洗'!U34</x:f>
        <x:v>99.88</x:v>
      </x:c>
      <x:c r="G32" s="39" t="n">
        <x:f>'表单2_清洗'!W34</x:f>
        <x:v>2</x:v>
      </x:c>
      <x:c r="H32" s="34" t="n">
        <x:f>'表单2_清洗'!X34</x:f>
        <x:v>63.37605126151382</x:v>
      </x:c>
      <x:c r="I32" s="34" t="n">
        <x:f>'表单2_清洗'!Y34</x:f>
        <x:v>0.9211053263916701</x:v>
      </x:c>
      <x:c r="J32" s="34" t="n">
        <x:f>'表单2_清洗'!Z34</x:f>
        <x:v>0.30036043251902284</x:v>
      </x:c>
      <x:c r="K32" s="34" t="n">
        <x:f>'表单2_清洗'!AA34</x:f>
        <x:v>2.9835802963556266</x:v>
      </x:c>
      <x:c r="L32" s="34" t="n">
        <x:f>'表单2_清洗'!AB34</x:f>
        <x:v>1.4917901481778133</x:v>
      </x:c>
      <x:c r="M32" s="34" t="n">
        <x:f>'表单2_清洗'!AC34</x:f>
        <x:v>14.357228674409292</x:v>
      </x:c>
      <x:c r="N32" s="34" t="n">
        <x:f>'表单2_清洗'!AD34</x:f>
        <x:v>0.8109731678013617</x:v>
      </x:c>
      <x:c r="O32" s="34" t="n">
        <x:f>'表单2_清洗'!AE34</x:f>
        <x:v>0.7408890668802564</x:v>
      </x:c>
      <x:c r="P32" s="34" t="n">
        <x:f>'表单2_清洗'!AF34</x:f>
        <x:v>12.324789747697237</x:v>
      </x:c>
      <x:c r="Q32" s="34" t="n">
        <x:f>'表单2_清洗'!AG34</x:f>
        <x:v>2.032438926712054</x:v>
      </x:c>
      <x:c r="R32" s="34" t="n">
        <x:f>'表单2_清洗'!AH34</x:f>
        <x:v>0.4104925911093312</x:v>
      </x:c>
      <x:c r="S32" s="34" t="n">
        <x:f>'表单2_清洗'!AI34</x:f>
        <x:v>0.250300360432519</x:v>
      </x:c>
      <x:c r="T32" s="34" t="n">
        <x:f>'表单2_清洗'!AJ34</x:f>
        <x:v>0</x:v>
      </x:c>
      <x:c r="U32" s="34" t="n">
        <x:f>'表单2_清洗'!AK34</x:f>
        <x:v>0</x:v>
      </x:c>
      <x:c r="V32" s="34" t="n">
        <x:f>'表单2_清洗'!AL34</x:f>
        <x:v>100.00000000000001</x:v>
      </x:c>
    </x:row>
    <x:row r="33">
      <x:c r="A33" s="32" t="str">
        <x:v>30部位1</x:v>
      </x:c>
      <x:c r="B33" s="32" t="str">
        <x:v>30</x:v>
      </x:c>
      <x:c r="C33" s="26" t="str">
        <x:f>'表单2_清洗'!Q35</x:f>
        <x:v>不同部位</x:v>
      </x:c>
      <x:c r="D33" s="26" t="str">
        <x:f>'表单2_清洗'!R35</x:f>
        <x:v>铅钡</x:v>
      </x:c>
      <x:c r="E33" s="26" t="str">
        <x:f>'表单2_清洗'!T35</x:f>
        <x:v>无风化</x:v>
      </x:c>
      <x:c r="F33" s="33" t="n">
        <x:f>'表单2_清洗'!U35</x:f>
        <x:v>97.94999999999999</x:v>
      </x:c>
      <x:c r="G33" s="39" t="n">
        <x:f>'表单2_清洗'!W35</x:f>
        <x:v>4</x:v>
      </x:c>
      <x:c r="H33" s="34" t="n">
        <x:f>'表单2_清洗'!X35</x:f>
        <x:v>35.05870342011231</x:v>
      </x:c>
      <x:c r="I33" s="34" t="n">
        <x:f>'表单2_清洗'!Y35</x:f>
        <x:v>0</x:v>
      </x:c>
      <x:c r="J33" s="34" t="n">
        <x:f>'表单2_清洗'!Z35</x:f>
        <x:v>1.439509954058193</x:v>
      </x:c>
      <x:c r="K33" s="34" t="n">
        <x:f>'表单2_清洗'!AA35</x:f>
        <x:v>4.5839714139867285</x:v>
      </x:c>
      <x:c r="L33" s="34" t="n">
        <x:f>'表单2_清洗'!AB35</x:f>
        <x:v>1.0005104645227156</x:v>
      </x:c>
      <x:c r="M33" s="34" t="n">
        <x:f>'表单2_清洗'!AC35</x:f>
        <x:v>4.44104134762634</x:v>
      </x:c>
      <x:c r="N33" s="34" t="n">
        <x:f>'表单2_清洗'!AD35</x:f>
        <x:v>2.1643695763144466</x:v>
      </x:c>
      <x:c r="O33" s="34" t="n">
        <x:f>'表单2_清洗'!AE35</x:f>
        <x:v>0</x:v>
      </x:c>
      <x:c r="P33" s="34" t="n">
        <x:f>'表单2_清洗'!AF35</x:f>
        <x:v>40.04083716181726</x:v>
      </x:c>
      <x:c r="Q33" s="34" t="n">
        <x:f>'表单2_清洗'!AG35</x:f>
        <x:v>10.505359877488516</x:v>
      </x:c>
      <x:c r="R33" s="34" t="n">
        <x:f>'表单2_清洗'!AH35</x:f>
        <x:v>0</x:v>
      </x:c>
      <x:c r="S33" s="34" t="n">
        <x:f>'表单2_清洗'!AI35</x:f>
        <x:v>0.3573251659009699</x:v>
      </x:c>
      <x:c r="T33" s="34" t="n">
        <x:f>'表单2_清洗'!AJ35</x:f>
        <x:v>0.4083716181725371</x:v>
      </x:c>
      <x:c r="U33" s="34" t="n">
        <x:f>'表单2_清洗'!AK35</x:f>
        <x:v>0</x:v>
      </x:c>
      <x:c r="V33" s="34" t="n">
        <x:f>'表单2_清洗'!AL35</x:f>
        <x:v>100.00000000000003</x:v>
      </x:c>
    </x:row>
    <x:row r="34">
      <x:c r="A34" s="32" t="str">
        <x:v>30部位2</x:v>
      </x:c>
      <x:c r="B34" s="32" t="str">
        <x:v>30</x:v>
      </x:c>
      <x:c r="C34" s="26" t="str">
        <x:f>'表单2_清洗'!Q36</x:f>
        <x:v>不同部位</x:v>
      </x:c>
      <x:c r="D34" s="26" t="str">
        <x:f>'表单2_清洗'!R36</x:f>
        <x:v>铅钡</x:v>
      </x:c>
      <x:c r="E34" s="26" t="str">
        <x:f>'表单2_清洗'!T36</x:f>
        <x:v>无风化</x:v>
      </x:c>
      <x:c r="F34" s="33" t="n">
        <x:f>'表单2_清洗'!U36</x:f>
        <x:v>98.7</x:v>
      </x:c>
      <x:c r="G34" s="39" t="n">
        <x:f>'表单2_清洗'!W36</x:f>
        <x:v>4</x:v>
      </x:c>
      <x:c r="H34" s="34" t="n">
        <x:f>'表单2_清洗'!X36</x:f>
        <x:v>37.41641337386018</x:v>
      </x:c>
      <x:c r="I34" s="34" t="n">
        <x:f>'表单2_清洗'!Y36</x:f>
        <x:v>0</x:v>
      </x:c>
      <x:c r="J34" s="34" t="n">
        <x:f>'表单2_清洗'!Z36</x:f>
        <x:v>0</x:v>
      </x:c>
      <x:c r="K34" s="34" t="n">
        <x:f>'表单2_清洗'!AA36</x:f>
        <x:v>4.295845997973657</x:v>
      </x:c>
      <x:c r="L34" s="34" t="n">
        <x:f>'表单2_清洗'!AB36</x:f>
        <x:v>0.5167173252279635</x:v>
      </x:c>
      <x:c r="M34" s="34" t="n">
        <x:f>'表单2_清洗'!AC36</x:f>
        <x:v>3.910840932117528</x:v>
      </x:c>
      <x:c r="N34" s="34" t="n">
        <x:f>'表单2_清洗'!AD36</x:f>
        <x:v>2.7760891590678827</x:v>
      </x:c>
      <x:c r="O34" s="34" t="n">
        <x:f>'表单2_清洗'!AE36</x:f>
        <x:v>0</x:v>
      </x:c>
      <x:c r="P34" s="34" t="n">
        <x:f>'表单2_清洗'!AF36</x:f>
        <x:v>38.237082066869306</x:v>
      </x:c>
      <x:c r="Q34" s="34" t="n">
        <x:f>'表单2_清洗'!AG36</x:f>
        <x:v>10.486322188449847</x:v>
      </x:c>
      <x:c r="R34" s="34" t="n">
        <x:f>'表单2_清洗'!AH36</x:f>
        <x:v>1.4285714285714286</x:v>
      </x:c>
      <x:c r="S34" s="34" t="n">
        <x:f>'表单2_清洗'!AI36</x:f>
        <x:v>0.486322188449848</x:v>
      </x:c>
      <x:c r="T34" s="34" t="n">
        <x:f>'表单2_清洗'!AJ36</x:f>
        <x:v>0.44579533941236066</x:v>
      </x:c>
      <x:c r="U34" s="34" t="n">
        <x:f>'表单2_清洗'!AK36</x:f>
        <x:v>0</x:v>
      </x:c>
      <x:c r="V34" s="34" t="n">
        <x:f>'表单2_清洗'!AL36</x:f>
        <x:v>100</x:v>
      </x:c>
    </x:row>
    <x:row r="35">
      <x:c r="A35" s="32" t="str">
        <x:v>31</x:v>
      </x:c>
      <x:c r="B35" s="32" t="str">
        <x:v>31</x:v>
      </x:c>
      <x:c r="C35" s="26" t="str">
        <x:f>'表单2_清洗'!Q37</x:f>
        <x:v>普通采样点</x:v>
      </x:c>
      <x:c r="D35" s="26" t="str">
        <x:f>'表单2_清洗'!R37</x:f>
        <x:v>铅钡</x:v>
      </x:c>
      <x:c r="E35" s="26" t="str">
        <x:f>'表单2_清洗'!T37</x:f>
        <x:v>无风化</x:v>
      </x:c>
      <x:c r="F35" s="33" t="n">
        <x:f>'表单2_清洗'!U37</x:f>
        <x:v>98.42999999999999</x:v>
      </x:c>
      <x:c r="G35" s="39" t="n">
        <x:f>'表单2_清洗'!W37</x:f>
        <x:v>4</x:v>
      </x:c>
      <x:c r="H35" s="34" t="n">
        <x:f>'表单2_清洗'!X37</x:f>
        <x:v>66.9612922889363</x:v>
      </x:c>
      <x:c r="I35" s="34" t="n">
        <x:f>'表单2_清洗'!Y37</x:f>
        <x:v>0</x:v>
      </x:c>
      <x:c r="J35" s="34" t="n">
        <x:f>'表单2_清洗'!Z37</x:f>
        <x:v>0</x:v>
      </x:c>
      <x:c r="K35" s="34" t="n">
        <x:f>'表单2_清洗'!AA37</x:f>
        <x:v>1.6255206745910804</x:v>
      </x:c>
      <x:c r="L35" s="34" t="n">
        <x:f>'表单2_清洗'!AB37</x:f>
        <x:v>0.9041958752412883</x:v>
      </x:c>
      <x:c r="M35" s="34" t="n">
        <x:f>'表单2_清洗'!AC37</x:f>
        <x:v>3.1596058112364114</x:v>
      </x:c>
      <x:c r="N35" s="34" t="n">
        <x:f>'表单2_清洗'!AD37</x:f>
        <x:v>4.66321243523316</x:v>
      </x:c>
      <x:c r="O35" s="34" t="n">
        <x:f>'表单2_清洗'!AE37</x:f>
        <x:v>0.4470181855125471</x:v>
      </x:c>
      <x:c r="P35" s="34" t="n">
        <x:f>'表单2_清洗'!AF37</x:f>
        <x:v>16.813979477801485</x:v>
      </x:c>
      <x:c r="Q35" s="34" t="n">
        <x:f>'表单2_清洗'!AG37</x:f>
        <x:v>3.4745504419384337</x:v>
      </x:c>
      <x:c r="R35" s="34" t="n">
        <x:f>'表单2_清洗'!AH37</x:f>
        <x:v>1.6458396830234687</x:v>
      </x:c>
      <x:c r="S35" s="34" t="n">
        <x:f>'表单2_清洗'!AI37</x:f>
        <x:v>0.3047851264858275</x:v>
      </x:c>
      <x:c r="T35" s="34" t="n">
        <x:f>'表单2_清洗'!AJ37</x:f>
        <x:v>0</x:v>
      </x:c>
      <x:c r="U35" s="34" t="n">
        <x:f>'表单2_清洗'!AK37</x:f>
        <x:v>0</x:v>
      </x:c>
      <x:c r="V35" s="34" t="n">
        <x:f>'表单2_清洗'!AL37</x:f>
        <x:v>100.00000000000001</x:v>
      </x:c>
    </x:row>
    <x:row r="36">
      <x:c r="A36" s="32" t="str">
        <x:v>32</x:v>
      </x:c>
      <x:c r="B36" s="32" t="str">
        <x:v>32</x:v>
      </x:c>
      <x:c r="C36" s="26" t="str">
        <x:f>'表单2_清洗'!Q38</x:f>
        <x:v>普通采样点</x:v>
      </x:c>
      <x:c r="D36" s="26" t="str">
        <x:f>'表单2_清洗'!R38</x:f>
        <x:v>铅钡</x:v>
      </x:c>
      <x:c r="E36" s="26" t="str">
        <x:f>'表单2_清洗'!T38</x:f>
        <x:v>无风化</x:v>
      </x:c>
      <x:c r="F36" s="33" t="n">
        <x:f>'表单2_清洗'!U38</x:f>
        <x:v>98.65999999999998</x:v>
      </x:c>
      <x:c r="G36" s="39" t="n">
        <x:f>'表单2_清洗'!W38</x:f>
        <x:v>5</x:v>
      </x:c>
      <x:c r="H36" s="34" t="n">
        <x:f>'表单2_清洗'!X38</x:f>
        <x:v>70.65680113521185</x:v>
      </x:c>
      <x:c r="I36" s="34" t="n">
        <x:f>'表单2_清洗'!Y38</x:f>
        <x:v>0</x:v>
      </x:c>
      <x:c r="J36" s="34" t="n">
        <x:f>'表单2_清洗'!Z38</x:f>
        <x:v>0.21285221974457735</x:v>
      </x:c>
      <x:c r="K36" s="34" t="n">
        <x:f>'表单2_清洗'!AA38</x:f>
        <x:v>0.46624771944050286</x:v>
      </x:c>
      <x:c r="L36" s="34" t="n">
        <x:f>'表单2_清洗'!AB38</x:f>
        <x:v>0</x:v>
      </x:c>
      <x:c r="M36" s="34" t="n">
        <x:f>'表单2_清洗'!AC38</x:f>
        <x:v>2.392053517129536</x:v>
      </x:c>
      <x:c r="N36" s="34" t="n">
        <x:f>'表单2_清洗'!AD38</x:f>
        <x:v>1.0135819987837018</x:v>
      </x:c>
      <x:c r="O36" s="34" t="n">
        <x:f>'表单2_清洗'!AE38</x:f>
        <x:v>0.1114940198662072</x:v>
      </x:c>
      <x:c r="P36" s="34" t="n">
        <x:f>'表单2_清洗'!AF38</x:f>
        <x:v>20.02838029596595</x:v>
      </x:c>
      <x:c r="Q36" s="34" t="n">
        <x:f>'表单2_清洗'!AG38</x:f>
        <x:v>4.946280154064465</x:v>
      </x:c>
      <x:c r="R36" s="34" t="n">
        <x:f>'表单2_清洗'!AH38</x:f>
        <x:v>0.1723089397932293</x:v>
      </x:c>
      <x:c r="S36" s="34" t="n">
        <x:f>'表单2_清洗'!AI38</x:f>
        <x:v>0</x:v>
      </x:c>
      <x:c r="T36" s="34" t="n">
        <x:f>'表单2_清洗'!AJ38</x:f>
        <x:v>0</x:v>
      </x:c>
      <x:c r="U36" s="34" t="n">
        <x:f>'表单2_清洗'!AK38</x:f>
        <x:v>0</x:v>
      </x:c>
      <x:c r="V36" s="34" t="n">
        <x:f>'表单2_清洗'!AL38</x:f>
        <x:v>100.00000000000003</x:v>
      </x:c>
    </x:row>
    <x:row r="37">
      <x:c r="A37" s="32" t="str">
        <x:v>33</x:v>
      </x:c>
      <x:c r="B37" s="32" t="str">
        <x:v>33</x:v>
      </x:c>
      <x:c r="C37" s="26" t="str">
        <x:f>'表单2_清洗'!Q39</x:f>
        <x:v>普通采样点</x:v>
      </x:c>
      <x:c r="D37" s="26" t="str">
        <x:f>'表单2_清洗'!R39</x:f>
        <x:v>铅钡</x:v>
      </x:c>
      <x:c r="E37" s="26" t="str">
        <x:f>'表单2_清洗'!T39</x:f>
        <x:v>无风化</x:v>
      </x:c>
      <x:c r="F37" s="33" t="n">
        <x:f>'表单2_清洗'!U39</x:f>
        <x:v>99.96</x:v>
      </x:c>
      <x:c r="G37" s="39" t="n">
        <x:f>'表单2_清洗'!W39</x:f>
        <x:v>5</x:v>
      </x:c>
      <x:c r="H37" s="34" t="n">
        <x:f>'表单2_清洗'!X39</x:f>
        <x:v>75.54021608643458</x:v>
      </x:c>
      <x:c r="I37" s="34" t="n">
        <x:f>'表单2_清洗'!Y39</x:f>
        <x:v>0</x:v>
      </x:c>
      <x:c r="J37" s="34" t="n">
        <x:f>'表单2_清洗'!Z39</x:f>
        <x:v>0.15006002400960386</x:v>
      </x:c>
      <x:c r="K37" s="34" t="n">
        <x:f>'表单2_清洗'!AA39</x:f>
        <x:v>0.6402561024409764</x:v>
      </x:c>
      <x:c r="L37" s="34" t="n">
        <x:f>'表单2_清洗'!AB39</x:f>
        <x:v>1.0004001600640255</x:v>
      </x:c>
      <x:c r="M37" s="34" t="n">
        <x:f>'表单2_清洗'!AC39</x:f>
        <x:v>2.3509403761504606</x:v>
      </x:c>
      <x:c r="N37" s="34" t="n">
        <x:f>'表单2_清洗'!AD39</x:f>
        <x:v>0</x:v>
      </x:c>
      <x:c r="O37" s="34" t="n">
        <x:f>'表单2_清洗'!AE39</x:f>
        <x:v>0.47018807523009204</x:v>
      </x:c>
      <x:c r="P37" s="34" t="n">
        <x:f>'表单2_清洗'!AF39</x:f>
        <x:v>16.166466586634655</x:v>
      </x:c>
      <x:c r="Q37" s="34" t="n">
        <x:f>'表单2_清洗'!AG39</x:f>
        <x:v>3.5514205682272912</x:v>
      </x:c>
      <x:c r="R37" s="34" t="n">
        <x:f>'表单2_清洗'!AH39</x:f>
        <x:v>0.13005202080832334</x:v>
      </x:c>
      <x:c r="S37" s="34" t="n">
        <x:f>'表单2_清洗'!AI39</x:f>
        <x:v>0</x:v>
      </x:c>
      <x:c r="T37" s="34" t="n">
        <x:f>'表单2_清洗'!AJ39</x:f>
        <x:v>0</x:v>
      </x:c>
      <x:c r="U37" s="34" t="n">
        <x:f>'表单2_清洗'!AK39</x:f>
        <x:v>0</x:v>
      </x:c>
      <x:c r="V37" s="34" t="n">
        <x:f>'表单2_清洗'!AL39</x:f>
        <x:v>100.00000000000001</x:v>
      </x:c>
    </x:row>
    <x:row r="38">
      <x:c r="A38" s="32" t="str">
        <x:v>34</x:v>
      </x:c>
      <x:c r="B38" s="32" t="str">
        <x:v>34</x:v>
      </x:c>
      <x:c r="C38" s="26" t="str">
        <x:f>'表单2_清洗'!Q40</x:f>
        <x:v>普通采样点</x:v>
      </x:c>
      <x:c r="D38" s="26" t="str">
        <x:f>'表单2_清洗'!R40</x:f>
        <x:v>铅钡</x:v>
      </x:c>
      <x:c r="E38" s="26" t="str">
        <x:f>'表单2_清洗'!T40</x:f>
        <x:v>风化</x:v>
      </x:c>
      <x:c r="F38" s="33" t="n">
        <x:f>'表单2_清洗'!U40</x:f>
        <x:v>97.52</x:v>
      </x:c>
      <x:c r="G38" s="39" t="n">
        <x:f>'表单2_清洗'!W40</x:f>
        <x:v>4</x:v>
      </x:c>
      <x:c r="H38" s="34" t="n">
        <x:f>'表单2_清洗'!X40</x:f>
        <x:v>36.689909762100086</x:v>
      </x:c>
      <x:c r="I38" s="34" t="n">
        <x:f>'表单2_清洗'!Y40</x:f>
        <x:v>0</x:v>
      </x:c>
      <x:c r="J38" s="34" t="n">
        <x:f>'表单2_清洗'!Z40</x:f>
        <x:v>0.25635767022149303</x:v>
      </x:c>
      <x:c r="K38" s="34" t="n">
        <x:f>'表单2_清洗'!AA40</x:f>
        <x:v>0.7998359310910583</x:v>
      </x:c>
      <x:c r="L38" s="34" t="n">
        <x:f>'表单2_清洗'!AB40</x:f>
        <x:v>0</x:v>
      </x:c>
      <x:c r="M38" s="34" t="n">
        <x:f>'表单2_清洗'!AC40</x:f>
        <x:v>1.6611977030352751</x:v>
      </x:c>
      <x:c r="N38" s="34" t="n">
        <x:f>'表单2_清洗'!AD40</x:f>
        <x:v>0.48195242001640687</x:v>
      </x:c>
      <x:c r="O38" s="34" t="n">
        <x:f>'表单2_清洗'!AE40</x:f>
        <x:v>1.5484003281378178</x:v>
      </x:c>
      <x:c r="P38" s="34" t="n">
        <x:f>'表单2_清洗'!AF40</x:f>
        <x:v>47.733798195242</x:v>
      </x:c>
      <x:c r="Q38" s="34" t="n">
        <x:f>'表单2_清洗'!AG40</x:f>
        <x:v>10.254306808859722</x:v>
      </x:c>
      <x:c r="R38" s="34" t="n">
        <x:f>'表单2_清洗'!AH40</x:f>
        <x:v>0.34864643150123054</x:v>
      </x:c>
      <x:c r="S38" s="34" t="n">
        <x:f>'表单2_清洗'!AI40</x:f>
        <x:v>0.2255947497949139</x:v>
      </x:c>
      <x:c r="T38" s="34" t="n">
        <x:f>'表单2_清洗'!AJ40</x:f>
        <x:v>0</x:v>
      </x:c>
      <x:c r="U38" s="34" t="n">
        <x:f>'表单2_清洗'!AK40</x:f>
        <x:v>0</x:v>
      </x:c>
      <x:c r="V38" s="34" t="n">
        <x:f>'表单2_清洗'!AL40</x:f>
        <x:v>100</x:v>
      </x:c>
    </x:row>
    <x:row r="39">
      <x:c r="A39" s="32" t="str">
        <x:v>35</x:v>
      </x:c>
      <x:c r="B39" s="32" t="str">
        <x:v>35</x:v>
      </x:c>
      <x:c r="C39" s="26" t="str">
        <x:f>'表单2_清洗'!Q41</x:f>
        <x:v>普通采样点</x:v>
      </x:c>
      <x:c r="D39" s="26" t="str">
        <x:f>'表单2_清洗'!R41</x:f>
        <x:v>铅钡</x:v>
      </x:c>
      <x:c r="E39" s="26" t="str">
        <x:f>'表单2_清洗'!T41</x:f>
        <x:v>无风化</x:v>
      </x:c>
      <x:c r="F39" s="33" t="n">
        <x:f>'表单2_清洗'!U41</x:f>
        <x:v>96.21</x:v>
      </x:c>
      <x:c r="G39" s="39" t="n">
        <x:f>'表单2_清洗'!W41</x:f>
        <x:v>6</x:v>
      </x:c>
      <x:c r="H39" s="34" t="n">
        <x:f>'表单2_清洗'!X41</x:f>
        <x:v>68.50639226691612</x:v>
      </x:c>
      <x:c r="I39" s="34" t="n">
        <x:f>'表单2_清洗'!Y41</x:f>
        <x:v>0</x:v>
      </x:c>
      <x:c r="J39" s="34" t="n">
        <x:f>'表单2_清洗'!Z41</x:f>
        <x:v>0</x:v>
      </x:c>
      <x:c r="K39" s="34" t="n">
        <x:f>'表单2_清洗'!AA41</x:f>
        <x:v>0.3949693379066625</x:v>
      </x:c>
      <x:c r="L39" s="34" t="n">
        <x:f>'表单2_清洗'!AB41</x:f>
        <x:v>0</x:v>
      </x:c>
      <x:c r="M39" s="34" t="n">
        <x:f>'表单2_清洗'!AC41</x:f>
        <x:v>1.4967259120673526</x:v>
      </x:c>
      <x:c r="N39" s="34" t="n">
        <x:f>'表单2_清洗'!AD41</x:f>
        <x:v>0.17669680906350693</x:v>
      </x:c>
      <x:c r="O39" s="34" t="n">
        <x:f>'表单2_清洗'!AE41</x:f>
        <x:v>0.16630287911859476</x:v>
      </x:c>
      <x:c r="P39" s="34" t="n">
        <x:f>'表单2_清洗'!AF41</x:f>
        <x:v>22.91861552853134</x:v>
      </x:c>
      <x:c r="Q39" s="34" t="n">
        <x:f>'表单2_清洗'!AG41</x:f>
        <x:v>5.903752208710113</x:v>
      </x:c>
      <x:c r="R39" s="34" t="n">
        <x:f>'表单2_清洗'!AH41</x:f>
        <x:v>0.4365450576863112</x:v>
      </x:c>
      <x:c r="S39" s="34" t="n">
        <x:f>'表单2_清洗'!AI41</x:f>
        <x:v>0</x:v>
      </x:c>
      <x:c r="T39" s="34" t="n">
        <x:f>'表单2_清洗'!AJ41</x:f>
        <x:v>0</x:v>
      </x:c>
      <x:c r="U39" s="34" t="n">
        <x:f>'表单2_清洗'!AK41</x:f>
        <x:v>0</x:v>
      </x:c>
      <x:c r="V39" s="34" t="n">
        <x:f>'表单2_清洗'!AL41</x:f>
        <x:v>99.99999999999999</x:v>
      </x:c>
    </x:row>
    <x:row r="40">
      <x:c r="A40" s="32" t="str">
        <x:v>36</x:v>
      </x:c>
      <x:c r="B40" s="32" t="str">
        <x:v>36</x:v>
      </x:c>
      <x:c r="C40" s="26" t="str">
        <x:f>'表单2_清洗'!Q42</x:f>
        <x:v>普通采样点</x:v>
      </x:c>
      <x:c r="D40" s="26" t="str">
        <x:f>'表单2_清洗'!R42</x:f>
        <x:v>铅钡</x:v>
      </x:c>
      <x:c r="E40" s="26" t="str">
        <x:f>'表单2_清洗'!T42</x:f>
        <x:v>风化</x:v>
      </x:c>
      <x:c r="F40" s="33" t="n">
        <x:f>'表单2_清洗'!U42</x:f>
        <x:v>97.62999999999998</x:v>
      </x:c>
      <x:c r="G40" s="39" t="n">
        <x:f>'表单2_清洗'!W42</x:f>
        <x:v>3</x:v>
      </x:c>
      <x:c r="H40" s="34" t="n">
        <x:f>'表单2_清洗'!X42</x:f>
        <x:v>40.53057461845745</x:v>
      </x:c>
      <x:c r="I40" s="34" t="n">
        <x:f>'表单2_清洗'!Y42</x:f>
        <x:v>2.2738912219604637</x:v>
      </x:c>
      <x:c r="J40" s="34" t="n">
        <x:f>'表单2_清洗'!Z42</x:f>
        <x:v>0.14339854552903825</x:v>
      </x:c>
      <x:c r="K40" s="34" t="n">
        <x:f>'表单2_清洗'!AA42</x:f>
        <x:v>0.3789818703267439</x:v>
      </x:c>
      <x:c r="L40" s="34" t="n">
        <x:f>'表单2_清洗'!AB42</x:f>
        <x:v>0</x:v>
      </x:c>
      <x:c r="M40" s="34" t="n">
        <x:f>'表单2_清洗'!AC42</x:f>
        <x:v>1.6388405203318654</x:v>
      </x:c>
      <x:c r="N40" s="34" t="n">
        <x:f>'表单2_清洗'!AD42</x:f>
        <x:v>0.32776810406637313</x:v>
      </x:c>
      <x:c r="O40" s="34" t="n">
        <x:f>'表单2_清洗'!AE42</x:f>
        <x:v>0.6965072211410429</x:v>
      </x:c>
      <x:c r="P40" s="34" t="n">
        <x:f>'表单2_清洗'!AF42</x:f>
        <x:v>42.62009628188058</x:v>
      </x:c>
      <x:c r="Q40" s="34" t="n">
        <x:f>'表单2_清洗'!AG42</x:f>
        <x:v>11.092901771996315</x:v>
      </x:c>
      <x:c r="R40" s="34" t="n">
        <x:f>'表单2_清洗'!AH42</x:f>
        <x:v>0.07169927276451912</x:v>
      </x:c>
      <x:c r="S40" s="34" t="n">
        <x:f>'表单2_清洗'!AI42</x:f>
        <x:v>0.22534057154563153</x:v>
      </x:c>
      <x:c r="T40" s="34" t="n">
        <x:f>'表单2_清洗'!AJ42</x:f>
        <x:v>0</x:v>
      </x:c>
      <x:c r="U40" s="34" t="n">
        <x:f>'表单2_清洗'!AK42</x:f>
        <x:v>0</x:v>
      </x:c>
      <x:c r="V40" s="34" t="n">
        <x:f>'表单2_清洗'!AL42</x:f>
        <x:v>100.00000000000001</x:v>
      </x:c>
    </x:row>
    <x:row r="41">
      <x:c r="A41" s="32" t="str">
        <x:v>37</x:v>
      </x:c>
      <x:c r="B41" s="32" t="str">
        <x:v>37</x:v>
      </x:c>
      <x:c r="C41" s="26" t="str">
        <x:f>'表单2_清洗'!Q43</x:f>
        <x:v>普通采样点</x:v>
      </x:c>
      <x:c r="D41" s="26" t="str">
        <x:f>'表单2_清洗'!R43</x:f>
        <x:v>铅钡</x:v>
      </x:c>
      <x:c r="E41" s="26" t="str">
        <x:f>'表单2_清洗'!T43</x:f>
        <x:v>无风化</x:v>
      </x:c>
      <x:c r="F41" s="33" t="n">
        <x:f>'表单2_清洗'!U43</x:f>
        <x:v>99.97999999999999</x:v>
      </x:c>
      <x:c r="G41" s="39" t="n">
        <x:f>'表单2_清洗'!W43</x:f>
        <x:v>4</x:v>
      </x:c>
      <x:c r="H41" s="34" t="n">
        <x:f>'表单2_清洗'!X43</x:f>
        <x:v>60.13202640528106</x:v>
      </x:c>
      <x:c r="I41" s="34" t="n">
        <x:f>'表单2_清洗'!Y43</x:f>
        <x:v>0</x:v>
      </x:c>
      <x:c r="J41" s="34" t="n">
        <x:f>'表单2_清洗'!Z43</x:f>
        <x:v>0.2300460092018404</x:v>
      </x:c>
      <x:c r="K41" s="34" t="n">
        <x:f>'表单2_清洗'!AA43</x:f>
        <x:v>0.8901780356071216</x:v>
      </x:c>
      <x:c r="L41" s="34" t="n">
        <x:f>'表单2_清洗'!AB43</x:f>
        <x:v>0</x:v>
      </x:c>
      <x:c r="M41" s="34" t="n">
        <x:f>'表单2_清洗'!AC43</x:f>
        <x:v>2.720544108821765</x:v>
      </x:c>
      <x:c r="N41" s="34" t="n">
        <x:f>'表单2_清洗'!AD43</x:f>
        <x:v>0</x:v>
      </x:c>
      <x:c r="O41" s="34" t="n">
        <x:f>'表单2_清洗'!AE43</x:f>
        <x:v>3.010602120424085</x:v>
      </x:c>
      <x:c r="P41" s="34" t="n">
        <x:f>'表单2_清洗'!AF43</x:f>
        <x:v>17.243448689737946</x:v>
      </x:c>
      <x:c r="Q41" s="34" t="n">
        <x:f>'表单2_清洗'!AG43</x:f>
        <x:v>10.342068413682737</x:v>
      </x:c>
      <x:c r="R41" s="34" t="n">
        <x:f>'表单2_清洗'!AH43</x:f>
        <x:v>1.4602920584116825</x:v>
      </x:c>
      <x:c r="S41" s="34" t="n">
        <x:f>'表单2_清洗'!AI43</x:f>
        <x:v>0.31006201240248055</x:v>
      </x:c>
      <x:c r="T41" s="34" t="n">
        <x:f>'表单2_清洗'!AJ43</x:f>
        <x:v>0</x:v>
      </x:c>
      <x:c r="U41" s="34" t="n">
        <x:f>'表单2_清洗'!AK43</x:f>
        <x:v>3.660732146429287</x:v>
      </x:c>
      <x:c r="V41" s="34" t="n">
        <x:f>'表单2_清洗'!AL43</x:f>
        <x:v>100</x:v>
      </x:c>
    </x:row>
    <x:row r="42">
      <x:c r="A42" s="32" t="str">
        <x:v>38</x:v>
      </x:c>
      <x:c r="B42" s="32" t="str">
        <x:v>38</x:v>
      </x:c>
      <x:c r="C42" s="26" t="str">
        <x:f>'表单2_清洗'!Q44</x:f>
        <x:v>普通采样点</x:v>
      </x:c>
      <x:c r="D42" s="26" t="str">
        <x:f>'表单2_清洗'!R44</x:f>
        <x:v>铅钡</x:v>
      </x:c>
      <x:c r="E42" s="26" t="str">
        <x:f>'表单2_清洗'!T44</x:f>
        <x:v>风化</x:v>
      </x:c>
      <x:c r="F42" s="33" t="n">
        <x:f>'表单2_清洗'!U44</x:f>
        <x:v>98.57000000000001</x:v>
      </x:c>
      <x:c r="G42" s="39" t="n">
        <x:f>'表单2_清洗'!W44</x:f>
        <x:v>4</x:v>
      </x:c>
      <x:c r="H42" s="34" t="n">
        <x:f>'表单2_清洗'!X44</x:f>
        <x:v>33.407730546819515</x:v>
      </x:c>
      <x:c r="I42" s="34" t="n">
        <x:f>'表单2_清洗'!Y44</x:f>
        <x:v>1.4000202901491323</x:v>
      </x:c>
      <x:c r="J42" s="34" t="n">
        <x:f>'表单2_清洗'!Z44</x:f>
        <x:v>0</x:v>
      </x:c>
      <x:c r="K42" s="34" t="n">
        <x:f>'表单2_清洗'!AA44</x:f>
        <x:v>0.6898650705082683</x:v>
      </x:c>
      <x:c r="L42" s="34" t="n">
        <x:f>'表单2_清洗'!AB44</x:f>
        <x:v>0</x:v>
      </x:c>
      <x:c r="M42" s="34" t="n">
        <x:f>'表单2_清洗'!AC44</x:f>
        <x:v>2.6072841635386017</x:v>
      </x:c>
      <x:c r="N42" s="34" t="n">
        <x:f>'表单2_清洗'!AD44</x:f>
        <x:v>0.2942071624226438</x:v>
      </x:c>
      <x:c r="O42" s="34" t="n">
        <x:f>'表单2_清洗'!AE44</x:f>
        <x:v>0.7405904433397584</x:v>
      </x:c>
      <x:c r="P42" s="34" t="n">
        <x:f>'表单2_清洗'!AF44</x:f>
        <x:v>50.02536268641574</x:v>
      </x:c>
      <x:c r="Q42" s="34" t="n">
        <x:f>'表单2_清洗'!AG44</x:f>
        <x:v>9.9320280004058</x:v>
      </x:c>
      <x:c r="R42" s="34" t="n">
        <x:f>'表单2_清洗'!AH44</x:f>
        <x:v>0.4869635791823069</x:v>
      </x:c>
      <x:c r="S42" s="34" t="n">
        <x:f>'表单2_清洗'!AI44</x:f>
        <x:v>0.41594805721822053</x:v>
      </x:c>
      <x:c r="T42" s="34" t="n">
        <x:f>'表单2_清洗'!AJ44</x:f>
        <x:v>0</x:v>
      </x:c>
      <x:c r="U42" s="34" t="n">
        <x:f>'表单2_清洗'!AK44</x:f>
        <x:v>0</x:v>
      </x:c>
      <x:c r="V42" s="34" t="n">
        <x:f>'表单2_清洗'!AL44</x:f>
        <x:v>99.99999999999997</x:v>
      </x:c>
    </x:row>
    <x:row r="43">
      <x:c r="A43" s="32" t="str">
        <x:v>39</x:v>
      </x:c>
      <x:c r="B43" s="32" t="str">
        <x:v>39</x:v>
      </x:c>
      <x:c r="C43" s="26" t="str">
        <x:f>'表单2_清洗'!Q45</x:f>
        <x:v>普通采样点</x:v>
      </x:c>
      <x:c r="D43" s="26" t="str">
        <x:f>'表单2_清洗'!R45</x:f>
        <x:v>铅钡</x:v>
      </x:c>
      <x:c r="E43" s="26" t="str">
        <x:f>'表单2_清洗'!T45</x:f>
        <x:v>风化</x:v>
      </x:c>
      <x:c r="F43" s="33" t="n">
        <x:f>'表单2_清洗'!U45</x:f>
        <x:v>98.75999999999999</x:v>
      </x:c>
      <x:c r="G43" s="39" t="n">
        <x:f>'表单2_清洗'!W45</x:f>
        <x:v>6</x:v>
      </x:c>
      <x:c r="H43" s="34" t="n">
        <x:f>'表单2_清洗'!X45</x:f>
        <x:v>26.579586877278256</x:v>
      </x:c>
      <x:c r="I43" s="34" t="n">
        <x:f>'表单2_清洗'!Y45</x:f>
        <x:v>0</x:v>
      </x:c>
      <x:c r="J43" s="34" t="n">
        <x:f>'表单2_清洗'!Z45</x:f>
        <x:v>0</x:v>
      </x:c>
      <x:c r="K43" s="34" t="n">
        <x:f>'表单2_清洗'!AA45</x:f>
        <x:v>1.123936816524909</x:v>
      </x:c>
      <x:c r="L43" s="34" t="n">
        <x:f>'表单2_清洗'!AB45</x:f>
        <x:v>0</x:v>
      </x:c>
      <x:c r="M43" s="34" t="n">
        <x:f>'表单2_清洗'!AC45</x:f>
        <x:v>0.5062778452814904</x:v>
      </x:c>
      <x:c r="N43" s="34" t="n">
        <x:f>'表单2_清洗'!AD45</x:f>
        <x:v>0</x:v>
      </x:c>
      <x:c r="O43" s="34" t="n">
        <x:f>'表单2_清洗'!AE45</x:f>
        <x:v>0.8910490076954233</x:v>
      </x:c>
      <x:c r="P43" s="34" t="n">
        <x:f>'表单2_清洗'!AF45</x:f>
        <x:v>61.79627379505873</x:v>
      </x:c>
      <x:c r="Q43" s="34" t="n">
        <x:f>'表单2_清洗'!AG45</x:f>
        <x:v>7.3106520858647235</x:v>
      </x:c>
      <x:c r="R43" s="34" t="n">
        <x:f>'表单2_清洗'!AH45</x:f>
        <x:v>1.174564601053058</x:v>
      </x:c>
      <x:c r="S43" s="34" t="n">
        <x:f>'表单2_清洗'!AI45</x:f>
        <x:v>0.6176589712434184</x:v>
      </x:c>
      <x:c r="T43" s="34" t="n">
        <x:f>'表单2_清洗'!AJ45</x:f>
        <x:v>0</x:v>
      </x:c>
      <x:c r="U43" s="34" t="n">
        <x:f>'表单2_清洗'!AK45</x:f>
        <x:v>0</x:v>
      </x:c>
      <x:c r="V43" s="34" t="n">
        <x:f>'表单2_清洗'!AL45</x:f>
        <x:v>100</x:v>
      </x:c>
    </x:row>
    <x:row r="44">
      <x:c r="A44" s="32" t="str">
        <x:v>40</x:v>
      </x:c>
      <x:c r="B44" s="32" t="str">
        <x:v>40</x:v>
      </x:c>
      <x:c r="C44" s="26" t="str">
        <x:f>'表单2_清洗'!Q46</x:f>
        <x:v>普通采样点</x:v>
      </x:c>
      <x:c r="D44" s="26" t="str">
        <x:f>'表单2_清洗'!R46</x:f>
        <x:v>铅钡</x:v>
      </x:c>
      <x:c r="E44" s="26" t="str">
        <x:f>'表单2_清洗'!T46</x:f>
        <x:v>风化</x:v>
      </x:c>
      <x:c r="F44" s="33" t="n">
        <x:f>'表单2_清洗'!U46</x:f>
        <x:v>98.57</x:v>
      </x:c>
      <x:c r="G44" s="39" t="n">
        <x:f>'表单2_清洗'!W46</x:f>
        <x:v>6</x:v>
      </x:c>
      <x:c r="H44" s="34" t="n">
        <x:f>'表单2_清洗'!X46</x:f>
        <x:v>16.952419600284063</x:v>
      </x:c>
      <x:c r="I44" s="34" t="n">
        <x:f>'表单2_清洗'!Y46</x:f>
        <x:v>0</x:v>
      </x:c>
      <x:c r="J44" s="34" t="n">
        <x:f>'表单2_清洗'!Z46</x:f>
        <x:v>0</x:v>
      </x:c>
      <x:c r="K44" s="34" t="n">
        <x:f>'表单2_清洗'!AA46</x:f>
        <x:v>1.8971289438977377</x:v>
      </x:c>
      <x:c r="L44" s="34" t="n">
        <x:f>'表单2_清洗'!AB46</x:f>
        <x:v>0</x:v>
      </x:c>
      <x:c r="M44" s="34" t="n">
        <x:f>'表单2_清洗'!AC46</x:f>
        <x:v>0.4565283554834128</x:v>
      </x:c>
      <x:c r="N44" s="34" t="n">
        <x:f>'表单2_清洗'!AD46</x:f>
        <x:v>0.1927564167596632</x:v>
      </x:c>
      <x:c r="O44" s="34" t="n">
        <x:f>'表单2_清洗'!AE46</x:f>
        <x:v>0</x:v>
      </x:c>
      <x:c r="P44" s="34" t="n">
        <x:f>'表单2_清洗'!AF46</x:f>
        <x:v>71.2285685299787</x:v>
      </x:c>
      <x:c r="Q44" s="34" t="n">
        <x:f>'表单2_清洗'!AG46</x:f>
        <x:v>6.787054884853405</x:v>
      </x:c>
      <x:c r="R44" s="34" t="n">
        <x:f>'表单2_清洗'!AH46</x:f>
        <x:v>1.7956781982347574</x:v>
      </x:c>
      <x:c r="S44" s="34" t="n">
        <x:f>'表单2_清洗'!AI46</x:f>
        <x:v>0.6898650705082683</x:v>
      </x:c>
      <x:c r="T44" s="34" t="n">
        <x:f>'表单2_清洗'!AJ46</x:f>
        <x:v>0</x:v>
      </x:c>
      <x:c r="U44" s="34" t="n">
        <x:f>'表单2_清洗'!AK46</x:f>
        <x:v>0</x:v>
      </x:c>
      <x:c r="V44" s="34" t="n">
        <x:f>'表单2_清洗'!AL46</x:f>
        <x:v>100</x:v>
      </x:c>
    </x:row>
    <x:row r="45">
      <x:c r="A45" s="32" t="str">
        <x:v>41</x:v>
      </x:c>
      <x:c r="B45" s="32" t="str">
        <x:v>41</x:v>
      </x:c>
      <x:c r="C45" s="26" t="str">
        <x:f>'表单2_清洗'!Q47</x:f>
        <x:v>普通采样点</x:v>
      </x:c>
      <x:c r="D45" s="26" t="str">
        <x:f>'表单2_清洗'!R47</x:f>
        <x:v>铅钡</x:v>
      </x:c>
      <x:c r="E45" s="26" t="str">
        <x:f>'表单2_清洗'!T47</x:f>
        <x:v>风化</x:v>
      </x:c>
      <x:c r="F45" s="33" t="n">
        <x:f>'表单2_清洗'!U47</x:f>
        <x:v>93.71</x:v>
      </x:c>
      <x:c r="G45" s="39" t="n">
        <x:f>'表单2_清洗'!W47</x:f>
        <x:v>3</x:v>
      </x:c>
      <x:c r="H45" s="34" t="n">
        <x:f>'表单2_清洗'!X47</x:f>
        <x:v>19.699071603884327</x:v>
      </x:c>
      <x:c r="I45" s="34" t="n">
        <x:f>'表单2_清洗'!Y47</x:f>
        <x:v>0</x:v>
      </x:c>
      <x:c r="J45" s="34" t="n">
        <x:f>'表单2_清洗'!Z47</x:f>
        <x:v>0.4695336676982179</x:v>
      </x:c>
      <x:c r="K45" s="34" t="n">
        <x:f>'表单2_清洗'!AA47</x:f>
        <x:v>5.292924981325366</x:v>
      </x:c>
      <x:c r="L45" s="34" t="n">
        <x:f>'表单2_清洗'!AB47</x:f>
        <x:v>2.913242983673034</x:v>
      </x:c>
      <x:c r="M45" s="34" t="n">
        <x:f>'表单2_清洗'!AC47</x:f>
        <x:v>3.553516166897877</x:v>
      </x:c>
      <x:c r="N45" s="34" t="n">
        <x:f>'表单2_清洗'!AD47</x:f>
        <x:v>1.910148329954114</x:v>
      </x:c>
      <x:c r="O45" s="34" t="n">
        <x:f>'表单2_清洗'!AE47</x:f>
        <x:v>0.20275317468786683</x:v>
      </x:c>
      <x:c r="P45" s="34" t="n">
        <x:f>'表单2_清洗'!AF47</x:f>
        <x:v>47.08142140646676</x:v>
      </x:c>
      <x:c r="Q45" s="34" t="n">
        <x:f>'表单2_清洗'!AG47</x:f>
        <x:v>10.415110447124107</x:v>
      </x:c>
      <x:c r="R45" s="34" t="n">
        <x:f>'表单2_清洗'!AH47</x:f>
        <x:v>7.960729911428876</x:v>
      </x:c>
      <x:c r="S45" s="34" t="n">
        <x:f>'表单2_清洗'!AI47</x:f>
        <x:v>0.50154732685946</x:v>
      </x:c>
      <x:c r="T45" s="34" t="n">
        <x:f>'表单2_清洗'!AJ47</x:f>
        <x:v>0</x:v>
      </x:c>
      <x:c r="U45" s="34" t="n">
        <x:f>'表单2_清洗'!AK47</x:f>
        <x:v>0</x:v>
      </x:c>
      <x:c r="V45" s="34" t="n">
        <x:f>'表单2_清洗'!AL47</x:f>
        <x:v>100</x:v>
      </x:c>
    </x:row>
    <x:row r="46">
      <x:c r="A46" s="32" t="str">
        <x:v>42未风化点1</x:v>
      </x:c>
      <x:c r="B46" s="32" t="str">
        <x:v>42</x:v>
      </x:c>
      <x:c r="C46" s="26" t="str">
        <x:f>'表单2_清洗'!Q48</x:f>
        <x:v>未风化点</x:v>
      </x:c>
      <x:c r="D46" s="26" t="str">
        <x:f>'表单2_清洗'!R48</x:f>
        <x:v>铅钡</x:v>
      </x:c>
      <x:c r="E46" s="26" t="str">
        <x:f>'表单2_清洗'!T48</x:f>
        <x:v>无风化</x:v>
      </x:c>
      <x:c r="F46" s="33" t="n">
        <x:f>'表单2_清洗'!U48</x:f>
        <x:v>98.00999999999999</x:v>
      </x:c>
      <x:c r="G46" s="39" t="n">
        <x:f>'表单2_清洗'!W48</x:f>
        <x:v>3</x:v>
      </x:c>
      <x:c r="H46" s="34" t="n">
        <x:f>'表单2_清洗'!X48</x:f>
        <x:v>52.300785634118974</x:v>
      </x:c>
      <x:c r="I46" s="34" t="n">
        <x:f>'表单2_清洗'!Y48</x:f>
        <x:v>5.856545250484645</x:v>
      </x:c>
      <x:c r="J46" s="34" t="n">
        <x:f>'表单2_清洗'!Z48</x:f>
        <x:v>0.15304560759106214</x:v>
      </x:c>
      <x:c r="K46" s="34" t="n">
        <x:f>'表单2_清洗'!AA48</x:f>
        <x:v>0.8060401999795941</x:v>
      </x:c>
      <x:c r="L46" s="34" t="n">
        <x:f>'表单2_清洗'!AB48</x:f>
        <x:v>1.1121314151617185</x:v>
      </x:c>
      <x:c r="M46" s="34" t="n">
        <x:f>'表单2_清洗'!AC48</x:f>
        <x:v>3.6016732986429956</x:v>
      </x:c>
      <x:c r="N46" s="34" t="n">
        <x:f>'表单2_清洗'!AD48</x:f>
        <x:v>0</x:v>
      </x:c>
      <x:c r="O46" s="34" t="n">
        <x:f>'表单2_清洗'!AE48</x:f>
        <x:v>2.7242118151209063</x:v>
      </x:c>
      <x:c r="P46" s="34" t="n">
        <x:f>'表单2_清洗'!AF48</x:f>
        <x:v>22.32425262728293</x:v>
      </x:c>
      <x:c r="Q46" s="34" t="n">
        <x:f>'表单2_清洗'!AG48</x:f>
        <x:v>10.68258340985614</x:v>
      </x:c>
      <x:c r="R46" s="34" t="n">
        <x:f>'表单2_清洗'!AH48</x:f>
        <x:v>0.08162432404856648</x:v>
      </x:c>
      <x:c r="S46" s="34" t="n">
        <x:f>'表单2_清洗'!AI48</x:f>
        <x:v>0.3571064177124783</x:v>
      </x:c>
      <x:c r="T46" s="34" t="n">
        <x:f>'表单2_清洗'!AJ48</x:f>
        <x:v>0</x:v>
      </x:c>
      <x:c r="U46" s="34" t="n">
        <x:f>'表单2_清洗'!AK48</x:f>
        <x:v>0</x:v>
      </x:c>
      <x:c r="V46" s="34" t="n">
        <x:f>'表单2_清洗'!AL48</x:f>
        <x:v>99.99999999999999</x:v>
      </x:c>
    </x:row>
    <x:row r="47">
      <x:c r="A47" s="32" t="str">
        <x:v>42未风化点2</x:v>
      </x:c>
      <x:c r="B47" s="32" t="str">
        <x:v>42</x:v>
      </x:c>
      <x:c r="C47" s="26" t="str">
        <x:f>'表单2_清洗'!Q49</x:f>
        <x:v>未风化点</x:v>
      </x:c>
      <x:c r="D47" s="26" t="str">
        <x:f>'表单2_清洗'!R49</x:f>
        <x:v>铅钡</x:v>
      </x:c>
      <x:c r="E47" s="26" t="str">
        <x:f>'表单2_清洗'!T49</x:f>
        <x:v>无风化</x:v>
      </x:c>
      <x:c r="F47" s="33" t="n">
        <x:f>'表单2_清洗'!U49</x:f>
        <x:v>97.89999999999999</x:v>
      </x:c>
      <x:c r="G47" s="39" t="n">
        <x:f>'表单2_清洗'!W49</x:f>
        <x:v>6</x:v>
      </x:c>
      <x:c r="H47" s="34" t="n">
        <x:f>'表单2_清洗'!X49</x:f>
        <x:v>52.43105209397344</x:v>
      </x:c>
      <x:c r="I47" s="34" t="n">
        <x:f>'表单2_清洗'!Y49</x:f>
        <x:v>5.8018386108273745</x:v>
      </x:c>
      <x:c r="J47" s="34" t="n">
        <x:f>'表单2_清洗'!Z49</x:f>
        <x:v>0.35750766087844743</x:v>
      </x:c>
      <x:c r="K47" s="34" t="n">
        <x:f>'表单2_清洗'!AA49</x:f>
        <x:v>0</x:v>
      </x:c>
      <x:c r="L47" s="34" t="n">
        <x:f>'表单2_清洗'!AB49</x:f>
        <x:v>1.18488253319714</x:v>
      </x:c>
      <x:c r="M47" s="34" t="n">
        <x:f>'表单2_清洗'!AC49</x:f>
        <x:v>5.781409601634321</x:v>
      </x:c>
      <x:c r="N47" s="34" t="n">
        <x:f>'表单2_清洗'!AD49</x:f>
        <x:v>0</x:v>
      </x:c>
      <x:c r="O47" s="34" t="n">
        <x:f>'表单2_清洗'!AE49</x:f>
        <x:v>2.778345250255363</x:v>
      </x:c>
      <x:c r="P47" s="34" t="n">
        <x:f>'表单2_清洗'!AF49</x:f>
        <x:v>20.551583248212467</x:v>
      </x:c>
      <x:c r="Q47" s="34" t="n">
        <x:f>'表单2_清洗'!AG49</x:f>
        <x:v>11.113381001021452</x:v>
      </x:c>
      <x:c r="R47" s="34" t="n">
        <x:f>'表单2_清洗'!AH49</x:f>
        <x:v>0</x:v>
      </x:c>
      <x:c r="S47" s="34" t="n">
        <x:f>'表单2_清洗'!AI49</x:f>
        <x:v>0</x:v>
      </x:c>
      <x:c r="T47" s="34" t="n">
        <x:f>'表单2_清洗'!AJ49</x:f>
        <x:v>0</x:v>
      </x:c>
      <x:c r="U47" s="34" t="n">
        <x:f>'表单2_清洗'!AK49</x:f>
        <x:v>0</x:v>
      </x:c>
      <x:c r="V47" s="34" t="n">
        <x:f>'表单2_清洗'!AL49</x:f>
        <x:v>100</x:v>
      </x:c>
    </x:row>
    <x:row r="48">
      <x:c r="A48" s="32" t="str">
        <x:v>43部位1</x:v>
      </x:c>
      <x:c r="B48" s="32" t="str">
        <x:v>43</x:v>
      </x:c>
      <x:c r="C48" s="26" t="str">
        <x:f>'表单2_清洗'!Q50</x:f>
        <x:v>不同部位</x:v>
      </x:c>
      <x:c r="D48" s="26" t="str">
        <x:f>'表单2_清洗'!R50</x:f>
        <x:v>铅钡</x:v>
      </x:c>
      <x:c r="E48" s="26" t="str">
        <x:f>'表单2_清洗'!T50</x:f>
        <x:v>风化</x:v>
      </x:c>
      <x:c r="F48" s="33" t="n">
        <x:f>'表单2_清洗'!U50</x:f>
        <x:v>94.68</x:v>
      </x:c>
      <x:c r="G48" s="39" t="n">
        <x:f>'表单2_清洗'!W50</x:f>
        <x:v>5</x:v>
      </x:c>
      <x:c r="H48" s="34" t="n">
        <x:f>'表单2_清洗'!X50</x:f>
        <x:v>13.107308829742289</x:v>
      </x:c>
      <x:c r="I48" s="34" t="n">
        <x:f>'表单2_清洗'!Y50</x:f>
        <x:v>0</x:v>
      </x:c>
      <x:c r="J48" s="34" t="n">
        <x:f>'表单2_清洗'!Z50</x:f>
        <x:v>0</x:v>
      </x:c>
      <x:c r="K48" s="34" t="n">
        <x:f>'表单2_清洗'!AA50</x:f>
        <x:v>5.534431770173215</x:v>
      </x:c>
      <x:c r="L48" s="34" t="n">
        <x:f>'表单2_清洗'!AB50</x:f>
        <x:v>0.9400084495141527</x:v>
      </x:c>
      <x:c r="M48" s="34" t="n">
        <x:f>'表单2_清洗'!AC50</x:f>
        <x:v>2.376425855513308</x:v>
      </x:c>
      <x:c r="N48" s="34" t="n">
        <x:f>'表单2_清洗'!AD50</x:f>
        <x:v>0.8027038445289396</x:v>
      </x:c>
      <x:c r="O48" s="34" t="n">
        <x:f>'表单2_清洗'!AE50</x:f>
        <x:v>5.650612589776087</x:v>
      </x:c>
      <x:c r="P48" s="34" t="n">
        <x:f>'表单2_清洗'!AF50</x:f>
        <x:v>63.21292775665399</x:v>
      </x:c>
      <x:c r="Q48" s="34" t="n">
        <x:f>'表单2_清洗'!AG50</x:f>
        <x:v>7.699619771863117</x:v>
      </x:c>
      <x:c r="R48" s="34" t="n">
        <x:f>'表单2_清洗'!AH50</x:f>
        <x:v>0</x:v>
      </x:c>
      <x:c r="S48" s="34" t="n">
        <x:f>'表单2_清洗'!AI50</x:f>
        <x:v>0.6759611322348965</x:v>
      </x:c>
      <x:c r="T48" s="34" t="n">
        <x:f>'表单2_清洗'!AJ50</x:f>
        <x:v>0</x:v>
      </x:c>
      <x:c r="U48" s="34" t="n">
        <x:f>'表单2_清洗'!AK50</x:f>
        <x:v>0</x:v>
      </x:c>
      <x:c r="V48" s="34" t="n">
        <x:f>'表单2_清洗'!AL50</x:f>
        <x:v>100</x:v>
      </x:c>
    </x:row>
    <x:row r="49">
      <x:c r="A49" s="32" t="str">
        <x:v>43部位2</x:v>
      </x:c>
      <x:c r="B49" s="32" t="str">
        <x:v>43</x:v>
      </x:c>
      <x:c r="C49" s="26" t="str">
        <x:f>'表单2_清洗'!Q51</x:f>
        <x:v>不同部位</x:v>
      </x:c>
      <x:c r="D49" s="26" t="str">
        <x:f>'表单2_清洗'!R51</x:f>
        <x:v>铅钡</x:v>
      </x:c>
      <x:c r="E49" s="26" t="str">
        <x:f>'表单2_清洗'!T51</x:f>
        <x:v>风化</x:v>
      </x:c>
      <x:c r="F49" s="33" t="n">
        <x:f>'表单2_清洗'!U51</x:f>
        <x:v>96.67</x:v>
      </x:c>
      <x:c r="G49" s="39" t="n">
        <x:f>'表单2_清洗'!W51</x:f>
        <x:v>4</x:v>
      </x:c>
      <x:c r="H49" s="34" t="n">
        <x:f>'表单2_清洗'!X51</x:f>
        <x:v>22.447501810282404</x:v>
      </x:c>
      <x:c r="I49" s="34" t="n">
        <x:f>'表单2_清洗'!Y51</x:f>
        <x:v>0</x:v>
      </x:c>
      <x:c r="J49" s="34" t="n">
        <x:f>'表单2_清洗'!Z51</x:f>
        <x:v>0</x:v>
      </x:c>
      <x:c r="K49" s="34" t="n">
        <x:f>'表单2_清洗'!AA51</x:f>
        <x:v>6.620461363401263</x:v>
      </x:c>
      <x:c r="L49" s="34" t="n">
        <x:f>'表单2_清洗'!AB51</x:f>
        <x:v>0.9827247336298748</x:v>
      </x:c>
      <x:c r="M49" s="34" t="n">
        <x:f>'表单2_清洗'!AC51</x:f>
        <x:v>3.5274645701872354</x:v>
      </x:c>
      <x:c r="N49" s="34" t="n">
        <x:f>'表单2_清洗'!AD51</x:f>
        <x:v>1.4378814523637116</x:v>
      </x:c>
      <x:c r="O49" s="34" t="n">
        <x:f>'表单2_清洗'!AE51</x:f>
        <x:v>1.5620151029274851</x:v>
      </x:c>
      <x:c r="P49" s="34" t="n">
        <x:f>'表单2_清洗'!AF51</x:f>
        <x:v>46.29150718940726</x:v>
      </x:c>
      <x:c r="Q49" s="34" t="n">
        <x:f>'表单2_清洗'!AG51</x:f>
        <x:v>3.3722975069825174</x:v>
      </x:c>
      <x:c r="R49" s="34" t="n">
        <x:f>'表单2_清洗'!AH51</x:f>
        <x:v>13.271956139443466</x:v>
      </x:c>
      <x:c r="S49" s="34" t="n">
        <x:f>'表单2_清洗'!AI51</x:f>
        <x:v>0.4861901313747801</x:v>
      </x:c>
      <x:c r="T49" s="34" t="n">
        <x:f>'表单2_清洗'!AJ51</x:f>
        <x:v>0</x:v>
      </x:c>
      <x:c r="U49" s="34" t="n">
        <x:f>'表单2_清洗'!AK51</x:f>
        <x:v>0</x:v>
      </x:c>
      <x:c r="V49" s="34" t="n">
        <x:f>'表单2_清洗'!AL51</x:f>
        <x:v>100</x:v>
      </x:c>
    </x:row>
    <x:row r="50">
      <x:c r="A50" s="32" t="str">
        <x:v>44未风化点</x:v>
      </x:c>
      <x:c r="B50" s="32" t="str">
        <x:v>44</x:v>
      </x:c>
      <x:c r="C50" s="26" t="str">
        <x:f>'表单2_清洗'!Q52</x:f>
        <x:v>未风化点</x:v>
      </x:c>
      <x:c r="D50" s="26" t="str">
        <x:f>'表单2_清洗'!R52</x:f>
        <x:v>铅钡</x:v>
      </x:c>
      <x:c r="E50" s="26" t="str">
        <x:f>'表单2_清洗'!T52</x:f>
        <x:v>无风化</x:v>
      </x:c>
      <x:c r="F50" s="33" t="n">
        <x:f>'表单2_清洗'!U52</x:f>
        <x:v>99.12</x:v>
      </x:c>
      <x:c r="G50" s="39" t="n">
        <x:f>'表单2_清洗'!W52</x:f>
        <x:v>4</x:v>
      </x:c>
      <x:c r="H50" s="34" t="n">
        <x:f>'表单2_清洗'!X52</x:f>
        <x:v>61.279257465698144</x:v>
      </x:c>
      <x:c r="I50" s="34" t="n">
        <x:f>'表单2_清洗'!Y52</x:f>
        <x:v>3.0871670702179177</x:v>
      </x:c>
      <x:c r="J50" s="34" t="n">
        <x:f>'表单2_清洗'!Z52</x:f>
        <x:v>0.20177562550443903</x:v>
      </x:c>
      <x:c r="K50" s="34" t="n">
        <x:f>'表单2_清洗'!AA52</x:f>
        <x:v>2.158999192897498</x:v>
      </x:c>
      <x:c r="L50" s="34" t="n">
        <x:f>'表单2_清洗'!AB52</x:f>
        <x:v>0</x:v>
      </x:c>
      <x:c r="M50" s="34" t="n">
        <x:f>'表单2_清洗'!AC52</x:f>
        <x:v>12.802663438256657</x:v>
      </x:c>
      <x:c r="N50" s="34" t="n">
        <x:f>'表单2_清洗'!AD52</x:f>
        <x:v>0.7768361581920904</x:v>
      </x:c>
      <x:c r="O50" s="34" t="n">
        <x:f>'表单2_清洗'!AE52</x:f>
        <x:v>0.4338175948345439</x:v>
      </x:c>
      <x:c r="P50" s="34" t="n">
        <x:f>'表单2_清洗'!AF52</x:f>
        <x:v>13.730831315577078</x:v>
      </x:c>
      <x:c r="Q50" s="34" t="n">
        <x:f>'表单2_清洗'!AG52</x:f>
        <x:v>5.266343825665859</x:v>
      </x:c>
      <x:c r="R50" s="34" t="n">
        <x:f>'表单2_清洗'!AH52</x:f>
        <x:v>0</x:v>
      </x:c>
      <x:c r="S50" s="34" t="n">
        <x:f>'表单2_清洗'!AI52</x:f>
        <x:v>0.2623083131557708</x:v>
      </x:c>
      <x:c r="T50" s="34" t="n">
        <x:f>'表单2_清洗'!AJ52</x:f>
        <x:v>0</x:v>
      </x:c>
      <x:c r="U50" s="34" t="n">
        <x:f>'表单2_清洗'!AK52</x:f>
        <x:v>0</x:v>
      </x:c>
      <x:c r="V50" s="34" t="n">
        <x:f>'表单2_清洗'!AL52</x:f>
        <x:v>100.00000000000001</x:v>
      </x:c>
    </x:row>
    <x:row r="51">
      <x:c r="A51" s="32" t="str">
        <x:v>45</x:v>
      </x:c>
      <x:c r="B51" s="32" t="str">
        <x:v>45</x:v>
      </x:c>
      <x:c r="C51" s="26" t="str">
        <x:f>'表单2_清洗'!Q53</x:f>
        <x:v>普通采样点</x:v>
      </x:c>
      <x:c r="D51" s="26" t="str">
        <x:f>'表单2_清洗'!R53</x:f>
        <x:v>铅钡</x:v>
      </x:c>
      <x:c r="E51" s="26" t="str">
        <x:f>'表单2_清洗'!T53</x:f>
        <x:v>无风化</x:v>
      </x:c>
      <x:c r="F51" s="33" t="n">
        <x:f>'表单2_清洗'!U53</x:f>
        <x:v>98.33999999999999</x:v>
      </x:c>
      <x:c r="G51" s="39" t="n">
        <x:f>'表单2_清洗'!W53</x:f>
        <x:v>4</x:v>
      </x:c>
      <x:c r="H51" s="34" t="n">
        <x:f>'表单2_清洗'!X53</x:f>
        <x:v>62.31441936139923</x:v>
      </x:c>
      <x:c r="I51" s="34" t="n">
        <x:f>'表单2_清洗'!Y53</x:f>
        <x:v>2.7049013626194838</x:v>
      </x:c>
      <x:c r="J51" s="34" t="n">
        <x:f>'表单2_清洗'!Z53</x:f>
        <x:v>0.11185682326621926</x:v>
      </x:c>
      <x:c r="K51" s="34" t="n">
        <x:f>'表单2_清洗'!AA53</x:f>
        <x:v>0.8541793776693106</x:v>
      </x:c>
      <x:c r="L51" s="34" t="n">
        <x:f>'表单2_清洗'!AB53</x:f>
        <x:v>0.7524913565182022</x:v>
      </x:c>
      <x:c r="M51" s="34" t="n">
        <x:f>'表单2_清洗'!AC53</x:f>
        <x:v>5.084401057555421</x:v>
      </x:c>
      <x:c r="N51" s="34" t="n">
        <x:f>'表单2_清洗'!AD53</x:f>
        <x:v>0</x:v>
      </x:c>
      <x:c r="O51" s="34" t="n">
        <x:f>'表单2_清洗'!AE53</x:f>
        <x:v>0.5389465121008746</x:v>
      </x:c>
      <x:c r="P51" s="34" t="n">
        <x:f>'表单2_清洗'!AF53</x:f>
        <x:v>16.259914582062233</x:v>
      </x:c>
      <x:c r="Q51" s="34" t="n">
        <x:f>'表单2_清洗'!AG53</x:f>
        <x:v>11.145007118161484</x:v>
      </x:c>
      <x:c r="R51" s="34" t="n">
        <x:f>'表单2_清洗'!AH53</x:f>
        <x:v>0</x:v>
      </x:c>
      <x:c r="S51" s="34" t="n">
        <x:f>'表单2_清洗'!AI53</x:f>
        <x:v>0.23388244864754934</x:v>
      </x:c>
      <x:c r="T51" s="34" t="n">
        <x:f>'表单2_清洗'!AJ53</x:f>
        <x:v>0</x:v>
      </x:c>
      <x:c r="U51" s="34" t="n">
        <x:f>'表单2_清洗'!AK53</x:f>
        <x:v>0</x:v>
      </x:c>
      <x:c r="V51" s="34" t="n">
        <x:f>'表单2_清洗'!AL53</x:f>
        <x:v>100.00000000000003</x:v>
      </x:c>
    </x:row>
    <x:row r="52">
      <x:c r="A52" s="32" t="str">
        <x:v>46</x:v>
      </x:c>
      <x:c r="B52" s="32" t="str">
        <x:v>46</x:v>
      </x:c>
      <x:c r="C52" s="26" t="str">
        <x:f>'表单2_清洗'!Q54</x:f>
        <x:v>普通采样点</x:v>
      </x:c>
      <x:c r="D52" s="26" t="str">
        <x:f>'表单2_清洗'!R54</x:f>
        <x:v>铅钡</x:v>
      </x:c>
      <x:c r="E52" s="26" t="str">
        <x:f>'表单2_清洗'!T54</x:f>
        <x:v>无风化</x:v>
      </x:c>
      <x:c r="F52" s="33" t="n">
        <x:f>'表单2_清洗'!U54</x:f>
        <x:v>98.63000000000001</x:v>
      </x:c>
      <x:c r="G52" s="39" t="n">
        <x:f>'表单2_清洗'!W54</x:f>
        <x:v>5</x:v>
      </x:c>
      <x:c r="H52" s="34" t="n">
        <x:f>'表单2_清洗'!X54</x:f>
        <x:v>55.9768833012268</x:v>
      </x:c>
      <x:c r="I52" s="34" t="n">
        <x:f>'表单2_清洗'!Y54</x:f>
        <x:v>0</x:v>
      </x:c>
      <x:c r="J52" s="34" t="n">
        <x:f>'表单2_清洗'!Z54</x:f>
        <x:v>0.2534725742674643</x:v>
      </x:c>
      <x:c r="K52" s="34" t="n">
        <x:f>'表单2_清洗'!AA54</x:f>
        <x:v>0</x:v>
      </x:c>
      <x:c r="L52" s="34" t="n">
        <x:f>'表单2_清洗'!AB54</x:f>
        <x:v>1.6931967961066612</x:v>
      </x:c>
      <x:c r="M52" s="34" t="n">
        <x:f>'表单2_清洗'!AC54</x:f>
        <x:v>4.856534522964615</x:v>
      </x:c>
      <x:c r="N52" s="34" t="n">
        <x:f>'表单2_清洗'!AD54</x:f>
        <x:v>0</x:v>
      </x:c>
      <x:c r="O52" s="34" t="n">
        <x:f>'表单2_清洗'!AE54</x:f>
        <x:v>0.7806955287437899</x:v>
      </x:c>
      <x:c r="P52" s="34" t="n">
        <x:f>'表单2_清洗'!AF54</x:f>
        <x:v>25.60073000101389</x:v>
      </x:c>
      <x:c r="Q52" s="34" t="n">
        <x:f>'表单2_清洗'!AG54</x:f>
        <x:v>10.19973638852276</x:v>
      </x:c>
      <x:c r="R52" s="34" t="n">
        <x:f>'表单2_清洗'!AH54</x:f>
        <x:v>0.2027780594139714</x:v>
      </x:c>
      <x:c r="S52" s="34" t="n">
        <x:f>'表单2_清洗'!AI54</x:f>
        <x:v>0.4359728277400385</x:v>
      </x:c>
      <x:c r="T52" s="34" t="n">
        <x:f>'表单2_清洗'!AJ54</x:f>
        <x:v>0</x:v>
      </x:c>
      <x:c r="U52" s="34" t="n">
        <x:f>'表单2_清洗'!AK54</x:f>
        <x:v>0</x:v>
      </x:c>
      <x:c r="V52" s="34" t="n">
        <x:f>'表单2_清洗'!AL54</x:f>
        <x:v>100</x:v>
      </x:c>
    </x:row>
    <x:row r="53">
      <x:c r="A53" s="32" t="str">
        <x:v>47</x:v>
      </x:c>
      <x:c r="B53" s="32" t="str">
        <x:v>47</x:v>
      </x:c>
      <x:c r="C53" s="26" t="str">
        <x:f>'表单2_清洗'!Q55</x:f>
        <x:v>普通采样点</x:v>
      </x:c>
      <x:c r="D53" s="26" t="str">
        <x:f>'表单2_清洗'!R55</x:f>
        <x:v>铅钡</x:v>
      </x:c>
      <x:c r="E53" s="26" t="str">
        <x:f>'表单2_清洗'!T55</x:f>
        <x:v>无风化</x:v>
      </x:c>
      <x:c r="F53" s="33" t="n">
        <x:f>'表单2_清洗'!U55</x:f>
        <x:v>97.25999999999999</x:v>
      </x:c>
      <x:c r="G53" s="39" t="n">
        <x:f>'表单2_清洗'!W55</x:f>
        <x:v>3</x:v>
      </x:c>
      <x:c r="H53" s="34" t="n">
        <x:f>'表单2_清洗'!X55</x:f>
        <x:v>52.99198025909932</x:v>
      </x:c>
      <x:c r="I53" s="34" t="n">
        <x:f>'表单2_清洗'!Y55</x:f>
        <x:v>4.791281102200289</x:v>
      </x:c>
      <x:c r="J53" s="34" t="n">
        <x:f>'表单2_清洗'!Z55</x:f>
        <x:v>0.29816985399958873</x:v>
      </x:c>
      <x:c r="K53" s="34" t="n">
        <x:f>'表单2_清洗'!AA55</x:f>
        <x:v>0.8945095619987662</x:v>
      </x:c>
      <x:c r="L53" s="34" t="n">
        <x:f>'表单2_清洗'!AB55</x:f>
        <x:v>0.6271848653094798</x:v>
      </x:c>
      <x:c r="M53" s="34" t="n">
        <x:f>'表单2_清洗'!AC55</x:f>
        <x:v>3.146206045650833</x:v>
      </x:c>
      <x:c r="N53" s="34" t="n">
        <x:f>'表单2_清洗'!AD55</x:f>
        <x:v>0</x:v>
      </x:c>
      <x:c r="O53" s="34" t="n">
        <x:f>'表单2_清洗'!AE55</x:f>
        <x:v>0.6683117417232162</x:v>
      </x:c>
      <x:c r="P53" s="34" t="n">
        <x:f>'表单2_清洗'!AF55</x:f>
        <x:v>26.1155665227226</x:v>
      </x:c>
      <x:c r="Q53" s="34" t="n">
        <x:f>'表单2_清洗'!AG55</x:f>
        <x:v>9.49002673246967</x:v>
      </x:c>
      <x:c r="R53" s="34" t="n">
        <x:f>'表单2_清洗'!AH55</x:f>
        <x:v>0.10281719103434096</x:v>
      </x:c>
      <x:c r="S53" s="34" t="n">
        <x:f>'表单2_清洗'!AI55</x:f>
        <x:v>0.873946123791898</x:v>
      </x:c>
      <x:c r="T53" s="34" t="n">
        <x:f>'表单2_清洗'!AJ55</x:f>
        <x:v>0</x:v>
      </x:c>
      <x:c r="U53" s="34" t="n">
        <x:f>'表单2_清洗'!AK55</x:f>
        <x:v>0</x:v>
      </x:c>
      <x:c r="V53" s="34" t="n">
        <x:f>'表单2_清洗'!AL55</x:f>
        <x:v>100.00000000000001</x:v>
      </x:c>
    </x:row>
    <x:row r="54">
      <x:c r="A54" s="32" t="str">
        <x:v>48</x:v>
      </x:c>
      <x:c r="B54" s="32" t="str">
        <x:v>48</x:v>
      </x:c>
      <x:c r="C54" s="26" t="str">
        <x:f>'表单2_清洗'!Q56</x:f>
        <x:v>普通采样点</x:v>
      </x:c>
      <x:c r="D54" s="26" t="str">
        <x:f>'表单2_清洗'!R56</x:f>
        <x:v>铅钡</x:v>
      </x:c>
      <x:c r="E54" s="26" t="str">
        <x:f>'表单2_清洗'!T56</x:f>
        <x:v>风化</x:v>
      </x:c>
      <x:c r="F54" s="33" t="n">
        <x:f>'表单2_清洗'!U56</x:f>
        <x:v>99.16999999999999</x:v>
      </x:c>
      <x:c r="G54" s="39" t="n">
        <x:f>'表单2_清洗'!W56</x:f>
        <x:v>2</x:v>
      </x:c>
      <x:c r="H54" s="34" t="n">
        <x:f>'表单2_清洗'!X56</x:f>
        <x:v>53.77634365231422</x:v>
      </x:c>
      <x:c r="I54" s="34" t="n">
        <x:f>'表单2_清洗'!Y56</x:f>
        <x:v>0.8066955732580419</x:v>
      </x:c>
      <x:c r="J54" s="34" t="n">
        <x:f>'表单2_清洗'!Z56</x:f>
        <x:v>0.32267822930321677</x:v>
      </x:c>
      <x:c r="K54" s="34" t="n">
        <x:f>'表单2_清洗'!AA56</x:f>
        <x:v>2.843601895734597</x:v>
      </x:c>
      <x:c r="L54" s="34" t="n">
        <x:f>'表单2_清洗'!AB56</x:f>
        <x:v>1.5528889785217306</x:v>
      </x:c>
      <x:c r="M54" s="34" t="n">
        <x:f>'表单2_清洗'!AC56</x:f>
        <x:v>13.764243218715338</x:v>
      </x:c>
      <x:c r="N54" s="34" t="n">
        <x:f>'表单2_清洗'!AD56</x:f>
        <x:v>1.0386205505697288</x:v>
      </x:c>
      <x:c r="O54" s="34" t="n">
        <x:f>'表单2_清洗'!AE56</x:f>
        <x:v>0</x:v>
      </x:c>
      <x:c r="P54" s="34" t="n">
        <x:f>'表单2_清洗'!AF56</x:f>
        <x:v>15.841484319854798</x:v>
      </x:c>
      <x:c r="Q54" s="34" t="n">
        <x:f>'表单2_清洗'!AG56</x:f>
        <x:v>7.371180800645356</x:v>
      </x:c>
      <x:c r="R54" s="34" t="n">
        <x:f>'表单2_清洗'!AH56</x:f>
        <x:v>1.1092064132298076</x:v>
      </x:c>
      <x:c r="S54" s="34" t="n">
        <x:f>'表单2_清洗'!AI56</x:f>
        <x:v>0.25209236664313805</x:v>
      </x:c>
      <x:c r="T54" s="34" t="n">
        <x:f>'表单2_清洗'!AJ56</x:f>
        <x:v>1.3209640012100434</x:v>
      </x:c>
      <x:c r="U54" s="34" t="n">
        <x:f>'表单2_清洗'!AK56</x:f>
        <x:v>0</x:v>
      </x:c>
      <x:c r="V54" s="34" t="n">
        <x:f>'表单2_清洗'!AL56</x:f>
        <x:v>100.00000000000003</x:v>
      </x:c>
    </x:row>
    <x:row r="55">
      <x:c r="A55" s="32" t="str">
        <x:v>49</x:v>
      </x:c>
      <x:c r="B55" s="32" t="str">
        <x:v>49</x:v>
      </x:c>
      <x:c r="C55" s="26" t="str">
        <x:f>'表单2_清洗'!Q57</x:f>
        <x:v>普通采样点</x:v>
      </x:c>
      <x:c r="D55" s="26" t="str">
        <x:f>'表单2_清洗'!R57</x:f>
        <x:v>铅钡</x:v>
      </x:c>
      <x:c r="E55" s="26" t="str">
        <x:f>'表单2_清洗'!T57</x:f>
        <x:v>风化</x:v>
      </x:c>
      <x:c r="F55" s="33" t="n">
        <x:f>'表单2_清洗'!U57</x:f>
        <x:v>95.49999999999999</x:v>
      </x:c>
      <x:c r="G55" s="39" t="n">
        <x:f>'表单2_清洗'!W57</x:f>
        <x:v>4</x:v>
      </x:c>
      <x:c r="H55" s="34" t="n">
        <x:f>'表单2_清洗'!X57</x:f>
        <x:v>30.14659685863875</x:v>
      </x:c>
      <x:c r="I55" s="34" t="n">
        <x:f>'表单2_清洗'!Y57</x:f>
        <x:v>0</x:v>
      </x:c>
      <x:c r="J55" s="34" t="n">
        <x:f>'表单2_清洗'!Z57</x:f>
        <x:v>0</x:v>
      </x:c>
      <x:c r="K55" s="34" t="n">
        <x:f>'表单2_清洗'!AA57</x:f>
        <x:v>4.795811518324608</x:v>
      </x:c>
      <x:c r="L55" s="34" t="n">
        <x:f>'表单2_清洗'!AB57</x:f>
        <x:v>1.5392670157068065</x:v>
      </x:c>
      <x:c r="M55" s="34" t="n">
        <x:f>'表单2_清洗'!AC57</x:f>
        <x:v>5.633507853403142</x:v>
      </x:c>
      <x:c r="N55" s="34" t="n">
        <x:f>'表单2_清洗'!AD57</x:f>
        <x:v>2.8691099476439796</x:v>
      </x:c>
      <x:c r="O55" s="34" t="n">
        <x:f>'表单2_清洗'!AE57</x:f>
        <x:v>0.7329842931937174</x:v>
      </x:c>
      <x:c r="P55" s="34" t="n">
        <x:f>'表单2_清洗'!AF57</x:f>
        <x:v>35.790575916230374</x:v>
      </x:c>
      <x:c r="Q55" s="34" t="n">
        <x:f>'表单2_清洗'!AG57</x:f>
        <x:v>6.387434554973822</x:v>
      </x:c>
      <x:c r="R55" s="34" t="n">
        <x:f>'表单2_清洗'!AH57</x:f>
        <x:v>11.623036649214662</x:v>
      </x:c>
      <x:c r="S55" s="34" t="n">
        <x:f>'表单2_清洗'!AI57</x:f>
        <x:v>0.48167539267015713</x:v>
      </x:c>
      <x:c r="T55" s="34" t="n">
        <x:f>'表单2_清洗'!AJ57</x:f>
        <x:v>0</x:v>
      </x:c>
      <x:c r="U55" s="34" t="n">
        <x:f>'表单2_清洗'!AK57</x:f>
        <x:v>0</x:v>
      </x:c>
      <x:c r="V55" s="34" t="n">
        <x:f>'表单2_清洗'!AL57</x:f>
        <x:v>100</x:v>
      </x:c>
    </x:row>
    <x:row r="56">
      <x:c r="A56" s="32" t="str">
        <x:v>49未风化点</x:v>
      </x:c>
      <x:c r="B56" s="32" t="str">
        <x:v>49</x:v>
      </x:c>
      <x:c r="C56" s="26" t="str">
        <x:f>'表单2_清洗'!Q58</x:f>
        <x:v>未风化点</x:v>
      </x:c>
      <x:c r="D56" s="26" t="str">
        <x:f>'表单2_清洗'!R58</x:f>
        <x:v>铅钡</x:v>
      </x:c>
      <x:c r="E56" s="26" t="str">
        <x:f>'表单2_清洗'!T58</x:f>
        <x:v>无风化</x:v>
      </x:c>
      <x:c r="F56" s="33" t="n">
        <x:f>'表单2_清洗'!U58</x:f>
        <x:v>98.24</x:v>
      </x:c>
      <x:c r="G56" s="39" t="n">
        <x:f>'表单2_清洗'!W58</x:f>
        <x:v>3</x:v>
      </x:c>
      <x:c r="H56" s="34" t="n">
        <x:f>'表单2_清洗'!X58</x:f>
        <x:v>55.58835504885994</x:v>
      </x:c>
      <x:c r="I56" s="34" t="n">
        <x:f>'表单2_清洗'!Y58</x:f>
        <x:v>0</x:v>
      </x:c>
      <x:c r="J56" s="34" t="n">
        <x:f>'表单2_清洗'!Z58</x:f>
        <x:v>0.30537459283387625</x:v>
      </x:c>
      <x:c r="K56" s="34" t="n">
        <x:f>'表单2_清洗'!AA58</x:f>
        <x:v>2.1172638436482085</x:v>
      </x:c>
      <x:c r="L56" s="34" t="n">
        <x:f>'表单2_清洗'!AB58</x:f>
        <x:v>1.221498371335505</x:v>
      </x:c>
      <x:c r="M56" s="34" t="n">
        <x:f>'表单2_清洗'!AC58</x:f>
        <x:v>6.616449511400652</x:v>
      </x:c>
      <x:c r="N56" s="34" t="n">
        <x:f>'表单2_清洗'!AD58</x:f>
        <x:v>1.2927524429967427</x:v>
      </x:c>
      <x:c r="O56" s="34" t="n">
        <x:f>'表单2_清洗'!AE58</x:f>
        <x:v>0.45806188925081437</x:v>
      </x:c>
      <x:c r="P56" s="34" t="n">
        <x:f>'表单2_清洗'!AF58</x:f>
        <x:v>23.432410423452772</x:v>
      </x:c>
      <x:c r="Q56" s="34" t="n">
        <x:f>'表单2_清洗'!AG58</x:f>
        <x:v>4.265065146579805</x:v>
      </x:c>
      <x:c r="R56" s="34" t="n">
        <x:f>'表单2_清洗'!AH58</x:f>
        <x:v>4.397394136807818</x:v>
      </x:c>
      <x:c r="S56" s="34" t="n">
        <x:f>'表单2_清洗'!AI58</x:f>
        <x:v>0.30537459283387625</x:v>
      </x:c>
      <x:c r="T56" s="34" t="n">
        <x:f>'表单2_清洗'!AJ58</x:f>
        <x:v>0</x:v>
      </x:c>
      <x:c r="U56" s="34" t="n">
        <x:f>'表单2_清洗'!AK58</x:f>
        <x:v>0</x:v>
      </x:c>
      <x:c r="V56" s="34" t="n">
        <x:f>'表单2_清洗'!AL58</x:f>
        <x:v>100.00000000000001</x:v>
      </x:c>
    </x:row>
    <x:row r="57">
      <x:c r="A57" s="32" t="str">
        <x:v>50</x:v>
      </x:c>
      <x:c r="B57" s="32" t="str">
        <x:v>50</x:v>
      </x:c>
      <x:c r="C57" s="26" t="str">
        <x:f>'表单2_清洗'!Q59</x:f>
        <x:v>普通采样点</x:v>
      </x:c>
      <x:c r="D57" s="26" t="str">
        <x:f>'表单2_清洗'!R59</x:f>
        <x:v>铅钡</x:v>
      </x:c>
      <x:c r="E57" s="26" t="str">
        <x:f>'表单2_清洗'!T59</x:f>
        <x:v>风化</x:v>
      </x:c>
      <x:c r="F57" s="33" t="n">
        <x:f>'表单2_清洗'!U59</x:f>
        <x:v>90.17</x:v>
      </x:c>
      <x:c r="G57" s="39" t="n">
        <x:f>'表单2_清洗'!W59</x:f>
        <x:v>4</x:v>
      </x:c>
      <x:c r="H57" s="34" t="n">
        <x:f>'表单2_清洗'!X59</x:f>
        <x:v>19.940113119662858</x:v>
      </x:c>
      <x:c r="I57" s="34" t="n">
        <x:f>'表单2_清洗'!Y59</x:f>
        <x:v>0</x:v>
      </x:c>
      <x:c r="J57" s="34" t="n">
        <x:f>'表单2_清洗'!Z59</x:f>
        <x:v>0</x:v>
      </x:c>
      <x:c r="K57" s="34" t="n">
        <x:f>'表单2_清洗'!AA59</x:f>
        <x:v>3.5377620051014746</x:v>
      </x:c>
      <x:c r="L57" s="34" t="n">
        <x:f>'表单2_清洗'!AB59</x:f>
        <x:v>0.5212376621936342</x:v>
      </x:c>
      <x:c r="M57" s="34" t="n">
        <x:f>'表单2_清洗'!AC59</x:f>
        <x:v>2.0738604857491403</x:v>
      </x:c>
      <x:c r="N57" s="34" t="n">
        <x:f>'表单2_清洗'!AD59</x:f>
        <x:v>0.36597537983808365</x:v>
      </x:c>
      <x:c r="O57" s="34" t="n">
        <x:f>'表单2_清洗'!AE59</x:f>
        <x:v>1.2531884218698013</x:v>
      </x:c>
      <x:c r="P57" s="34" t="n">
        <x:f>'表单2_清洗'!AF59</x:f>
        <x:v>48.79671731174448</x:v>
      </x:c>
      <x:c r="Q57" s="34" t="n">
        <x:f>'表单2_清洗'!AG59</x:f>
        <x:v>15.748031496062993</x:v>
      </x:c>
      <x:c r="R57" s="34" t="n">
        <x:f>'表单2_清洗'!AH59</x:f>
        <x:v>7.031163358101364</x:v>
      </x:c>
      <x:c r="S57" s="34" t="n">
        <x:f>'表单2_清洗'!AI59</x:f>
        <x:v>0.7319507596761673</x:v>
      </x:c>
      <x:c r="T57" s="34" t="n">
        <x:f>'表单2_清洗'!AJ59</x:f>
        <x:v>0</x:v>
      </x:c>
      <x:c r="U57" s="34" t="n">
        <x:f>'表单2_清洗'!AK59</x:f>
        <x:v>0</x:v>
      </x:c>
      <x:c r="V57" s="34" t="n">
        <x:f>'表单2_清洗'!AL59</x:f>
        <x:v>100</x:v>
      </x:c>
    </x:row>
    <x:row r="58">
      <x:c r="A58" s="32" t="str">
        <x:v>50未风化点</x:v>
      </x:c>
      <x:c r="B58" s="32" t="str">
        <x:v>50</x:v>
      </x:c>
      <x:c r="C58" s="26" t="str">
        <x:f>'表单2_清洗'!Q60</x:f>
        <x:v>未风化点</x:v>
      </x:c>
      <x:c r="D58" s="26" t="str">
        <x:f>'表单2_清洗'!R60</x:f>
        <x:v>铅钡</x:v>
      </x:c>
      <x:c r="E58" s="26" t="str">
        <x:f>'表单2_清洗'!T60</x:f>
        <x:v>无风化</x:v>
      </x:c>
      <x:c r="F58" s="33" t="n">
        <x:f>'表单2_清洗'!U60</x:f>
        <x:v>96.94000000000001</x:v>
      </x:c>
      <x:c r="G58" s="39" t="n">
        <x:f>'表单2_清洗'!W60</x:f>
        <x:v>5</x:v>
      </x:c>
      <x:c r="H58" s="34" t="n">
        <x:f>'表单2_清洗'!X60</x:f>
        <x:v>46.44109758613575</x:v>
      </x:c>
      <x:c r="I58" s="34" t="n">
        <x:f>'表单2_清洗'!Y60</x:f>
        <x:v>0</x:v>
      </x:c>
      <x:c r="J58" s="34" t="n">
        <x:f>'表单2_清洗'!Z60</x:f>
        <x:v>0</x:v>
      </x:c>
      <x:c r="K58" s="34" t="n">
        <x:f>'表单2_清洗'!AA60</x:f>
        <x:v>3.2184856612337525</x:v>
      </x:c>
      <x:c r="L58" s="34" t="n">
        <x:f>'表单2_清洗'!AB60</x:f>
        <x:v>0.5570455952135341</x:v>
      </x:c>
      <x:c r="M58" s="34" t="n">
        <x:f>'表单2_清洗'!AC60</x:f>
        <x:v>4.291314214978337</x:v>
      </x:c>
      <x:c r="N58" s="34" t="n">
        <x:f>'表单2_清洗'!AD60</x:f>
        <x:v>0</x:v>
      </x:c>
      <x:c r="O58" s="34" t="n">
        <x:f>'表单2_清洗'!AE60</x:f>
        <x:v>0.72209614194347</x:v>
      </x:c>
      <x:c r="P58" s="34" t="n">
        <x:f>'表单2_清洗'!AF60</x:f>
        <x:v>31.576232721270888</x:v>
      </x:c>
      <x:c r="Q58" s="34" t="n">
        <x:f>'表单2_清洗'!AG60</x:f>
        <x:v>6.416340004126263</x:v>
      </x:c>
      <x:c r="R58" s="34" t="n">
        <x:f>'表单2_清洗'!AH60</x:f>
        <x:v>6.5401279141737145</x:v>
      </x:c>
      <x:c r="S58" s="34" t="n">
        <x:f>'表单2_清洗'!AI60</x:f>
        <x:v>0.23726016092428304</x:v>
      </x:c>
      <x:c r="T58" s="34" t="n">
        <x:f>'表单2_清洗'!AJ60</x:f>
        <x:v>0</x:v>
      </x:c>
      <x:c r="U58" s="34" t="n">
        <x:f>'表单2_清洗'!AK60</x:f>
        <x:v>0</x:v>
      </x:c>
      <x:c r="V58" s="34" t="n">
        <x:f>'表单2_清洗'!AL60</x:f>
        <x:v>99.99999999999999</x:v>
      </x:c>
    </x:row>
    <x:row r="59">
      <x:c r="A59" s="32" t="str">
        <x:v>51部位1</x:v>
      </x:c>
      <x:c r="B59" s="32" t="str">
        <x:v>51</x:v>
      </x:c>
      <x:c r="C59" s="26" t="str">
        <x:f>'表单2_清洗'!Q61</x:f>
        <x:v>不同部位</x:v>
      </x:c>
      <x:c r="D59" s="26" t="str">
        <x:f>'表单2_清洗'!R61</x:f>
        <x:v>铅钡</x:v>
      </x:c>
      <x:c r="E59" s="26" t="str">
        <x:f>'表单2_清洗'!T61</x:f>
        <x:v>风化</x:v>
      </x:c>
      <x:c r="F59" s="33" t="n">
        <x:f>'表单2_清洗'!U61</x:f>
        <x:v>95.32999999999998</x:v>
      </x:c>
      <x:c r="G59" s="39" t="n">
        <x:f>'表单2_清洗'!W61</x:f>
        <x:v>3</x:v>
      </x:c>
      <x:c r="H59" s="34" t="n">
        <x:f>'表单2_清洗'!X61</x:f>
        <x:v>25.8155879576209</x:v>
      </x:c>
      <x:c r="I59" s="34" t="n">
        <x:f>'表单2_清洗'!Y61</x:f>
        <x:v>0</x:v>
      </x:c>
      <x:c r="J59" s="34" t="n">
        <x:f>'表单2_清洗'!Z61</x:f>
        <x:v>0</x:v>
      </x:c>
      <x:c r="K59" s="34" t="n">
        <x:f>'表单2_清洗'!AA61</x:f>
        <x:v>3.7553760621000745</x:v>
      </x:c>
      <x:c r="L59" s="34" t="n">
        <x:f>'表单2_清洗'!AB61</x:f>
        <x:v>1.2482953949438793</x:v>
      </x:c>
      <x:c r="M59" s="34" t="n">
        <x:f>'表单2_清洗'!AC61</x:f>
        <x:v>5.5071855659288795</x:v>
      </x:c>
      <x:c r="N59" s="34" t="n">
        <x:f>'表单2_清洗'!AD61</x:f>
        <x:v>1.2482953949438793</x:v>
      </x:c>
      <x:c r="O59" s="34" t="n">
        <x:f>'表单2_清洗'!AE61</x:f>
        <x:v>1.4371131857757269</x:v>
      </x:c>
      <x:c r="P59" s="34" t="n">
        <x:f>'表单2_清洗'!AF61</x:f>
        <x:v>42.21126612818631</x:v>
      </x:c>
      <x:c r="Q59" s="34" t="n">
        <x:f>'表单2_清洗'!AG61</x:f>
        <x:v>9.377950277981748</x:v>
      </x:c>
      <x:c r="R59" s="34" t="n">
        <x:f>'表单2_清洗'!AH61</x:f>
        <x:v>8.496800587433128</x:v>
      </x:c>
      <x:c r="S59" s="34" t="n">
        <x:f>'表单2_清洗'!AI61</x:f>
        <x:v>0.4091052134690025</x:v>
      </x:c>
      <x:c r="T59" s="34" t="n">
        <x:f>'表单2_清洗'!AJ61</x:f>
        <x:v>0.4930242316164901</x:v>
      </x:c>
      <x:c r="U59" s="34" t="n">
        <x:f>'表单2_清洗'!AK61</x:f>
        <x:v>0</x:v>
      </x:c>
      <x:c r="V59" s="34" t="n">
        <x:f>'表单2_清洗'!AL61</x:f>
        <x:v>100.00000000000003</x:v>
      </x:c>
    </x:row>
    <x:row r="60">
      <x:c r="A60" s="32" t="str">
        <x:v>51部位2</x:v>
      </x:c>
      <x:c r="B60" s="32" t="str">
        <x:v>51</x:v>
      </x:c>
      <x:c r="C60" s="26" t="str">
        <x:f>'表单2_清洗'!Q62</x:f>
        <x:v>不同部位</x:v>
      </x:c>
      <x:c r="D60" s="26" t="str">
        <x:f>'表单2_清洗'!R62</x:f>
        <x:v>铅钡</x:v>
      </x:c>
      <x:c r="E60" s="26" t="str">
        <x:f>'表单2_清洗'!T62</x:f>
        <x:v>风化</x:v>
      </x:c>
      <x:c r="F60" s="33" t="n">
        <x:f>'表单2_清洗'!U62</x:f>
        <x:v>91.7</x:v>
      </x:c>
      <x:c r="G60" s="39" t="n">
        <x:f>'表单2_清洗'!W62</x:f>
        <x:v>6</x:v>
      </x:c>
      <x:c r="H60" s="34" t="n">
        <x:f>'表单2_清洗'!X62</x:f>
        <x:v>23.282442748091604</x:v>
      </x:c>
      <x:c r="I60" s="34" t="n">
        <x:f>'表单2_清洗'!Y62</x:f>
        <x:v>0</x:v>
      </x:c>
      <x:c r="J60" s="34" t="n">
        <x:f>'表单2_清洗'!Z62</x:f>
        <x:v>0</x:v>
      </x:c>
      <x:c r="K60" s="34" t="n">
        <x:f>'表单2_清洗'!AA62</x:f>
        <x:v>5.59432933478735</x:v>
      </x:c>
      <x:c r="L60" s="34" t="n">
        <x:f>'表单2_清洗'!AB62</x:f>
        <x:v>1.5812431842966193</x:v>
      </x:c>
      <x:c r="M60" s="34" t="n">
        <x:f>'表单2_清洗'!AC62</x:f>
        <x:v>2.7371864776444923</x:v>
      </x:c>
      <x:c r="N60" s="34" t="n">
        <x:f>'表单2_清洗'!AD62</x:f>
        <x:v>0.45801526717557245</x:v>
      </x:c>
      <x:c r="O60" s="34" t="n">
        <x:f>'表单2_清洗'!AE62</x:f>
        <x:v>0.8178844056706652</x:v>
      </x:c>
      <x:c r="P60" s="34" t="n">
        <x:f>'表单2_清洗'!AF62</x:f>
        <x:v>55.986913849509264</x:v>
      </x:c>
      <x:c r="Q60" s="34" t="n">
        <x:f>'表单2_清洗'!AG62</x:f>
        <x:v>0</x:v>
      </x:c>
      <x:c r="R60" s="34" t="n">
        <x:f>'表单2_清洗'!AH62</x:f>
        <x:v>9.541984732824426</x:v>
      </x:c>
      <x:c r="S60" s="34" t="n">
        <x:f>'表单2_清洗'!AI62</x:f>
        <x:v>0</x:v>
      </x:c>
      <x:c r="T60" s="34" t="n">
        <x:f>'表单2_清洗'!AJ62</x:f>
        <x:v>0</x:v>
      </x:c>
      <x:c r="U60" s="34" t="n">
        <x:f>'表单2_清洗'!AK62</x:f>
        <x:v>0</x:v>
      </x:c>
      <x:c r="V60" s="34" t="n">
        <x:f>'表单2_清洗'!AL62</x:f>
        <x:v>100</x:v>
      </x:c>
    </x:row>
    <x:row r="61">
      <x:c r="A61" s="32" t="str">
        <x:v>52</x:v>
      </x:c>
      <x:c r="B61" s="32" t="str">
        <x:v>52</x:v>
      </x:c>
      <x:c r="C61" s="26" t="str">
        <x:f>'表单2_清洗'!Q63</x:f>
        <x:v>普通采样点</x:v>
      </x:c>
      <x:c r="D61" s="26" t="str">
        <x:f>'表单2_清洗'!R63</x:f>
        <x:v>铅钡</x:v>
      </x:c>
      <x:c r="E61" s="26" t="str">
        <x:f>'表单2_清洗'!T63</x:f>
        <x:v>风化</x:v>
      </x:c>
      <x:c r="F61" s="33" t="n">
        <x:f>'表单2_清洗'!U63</x:f>
        <x:v>94.07999999999998</x:v>
      </x:c>
      <x:c r="G61" s="39" t="n">
        <x:f>'表单2_清洗'!W63</x:f>
        <x:v>3</x:v>
      </x:c>
      <x:c r="H61" s="34" t="n">
        <x:f>'表单2_清洗'!X63</x:f>
        <x:v>27.359693877551024</x:v>
      </x:c>
      <x:c r="I61" s="34" t="n">
        <x:f>'表单2_清洗'!Y63</x:f>
        <x:v>1.2967687074829934</x:v>
      </x:c>
      <x:c r="J61" s="34" t="n">
        <x:f>'表单2_清洗'!Z63</x:f>
        <x:v>0</x:v>
      </x:c>
      <x:c r="K61" s="34" t="n">
        <x:f>'表单2_清洗'!AA63</x:f>
        <x:v>2.4128401360544225</x:v>
      </x:c>
      <x:c r="L61" s="34" t="n">
        <x:f>'表单2_清洗'!AB63</x:f>
        <x:v>0.584608843537415</x:v>
      </x:c>
      <x:c r="M61" s="34" t="n">
        <x:f>'表单2_清洗'!AC63</x:f>
        <x:v>1.2329931972789117</x:v>
      </x:c>
      <x:c r="N61" s="34" t="n">
        <x:f>'表单2_清洗'!AD63</x:f>
        <x:v>0.24447278911564632</x:v>
      </x:c>
      <x:c r="O61" s="34" t="n">
        <x:f>'表单2_清洗'!AE63</x:f>
        <x:v>0.7440476190476191</x:v>
      </x:c>
      <x:c r="P61" s="34" t="n">
        <x:f>'表单2_清洗'!AF63</x:f>
        <x:v>50.40391156462586</x:v>
      </x:c>
      <x:c r="Q61" s="34" t="n">
        <x:f>'表单2_清洗'!AG63</x:f>
        <x:v>9.183673469387758</x:v>
      </x:c>
      <x:c r="R61" s="34" t="n">
        <x:f>'表单2_清洗'!AH63</x:f>
        <x:v>6.0693027210884365</x:v>
      </x:c>
      <x:c r="S61" s="34" t="n">
        <x:f>'表单2_清洗'!AI63</x:f>
        <x:v>0.46768707482993205</x:v>
      </x:c>
      <x:c r="T61" s="34" t="n">
        <x:f>'表单2_清洗'!AJ63</x:f>
        <x:v>0</x:v>
      </x:c>
      <x:c r="U61" s="34" t="n">
        <x:f>'表单2_清洗'!AK63</x:f>
        <x:v>0</x:v>
      </x:c>
      <x:c r="V61" s="34" t="n">
        <x:f>'表单2_清洗'!AL63</x:f>
        <x:v>100</x:v>
      </x:c>
    </x:row>
    <x:row r="62">
      <x:c r="A62" s="32" t="str">
        <x:v>53未风化点</x:v>
      </x:c>
      <x:c r="B62" s="32" t="str">
        <x:v>53</x:v>
      </x:c>
      <x:c r="C62" s="26" t="str">
        <x:f>'表单2_清洗'!Q64</x:f>
        <x:v>未风化点</x:v>
      </x:c>
      <x:c r="D62" s="26" t="str">
        <x:f>'表单2_清洗'!R64</x:f>
        <x:v>铅钡</x:v>
      </x:c>
      <x:c r="E62" s="26" t="str">
        <x:f>'表单2_清洗'!T64</x:f>
        <x:v>无风化</x:v>
      </x:c>
      <x:c r="F62" s="33" t="n">
        <x:f>'表单2_清洗'!U64</x:f>
        <x:v>98.25</x:v>
      </x:c>
      <x:c r="G62" s="39" t="n">
        <x:f>'表单2_清洗'!W64</x:f>
        <x:v>4</x:v>
      </x:c>
      <x:c r="H62" s="34" t="n">
        <x:f>'表单2_清洗'!X64</x:f>
        <x:v>64.79389312977098</x:v>
      </x:c>
      <x:c r="I62" s="34" t="n">
        <x:f>'表单2_清洗'!Y64</x:f>
        <x:v>3.094147582697201</x:v>
      </x:c>
      <x:c r="J62" s="34" t="n">
        <x:f>'表单2_清洗'!Z64</x:f>
        <x:v>0.1119592875318066</x:v>
      </x:c>
      <x:c r="K62" s="34" t="n">
        <x:f>'表单2_清洗'!AA64</x:f>
        <x:v>0.7938931297709925</x:v>
      </x:c>
      <x:c r="L62" s="34" t="n">
        <x:f>'表单2_清洗'!AB64</x:f>
        <x:v>1.16030534351145</x:v>
      </x:c>
      <x:c r="M62" s="34" t="n">
        <x:f>'表单2_清洗'!AC64</x:f>
        <x:v>6.1679389312977095</x:v>
      </x:c>
      <x:c r="N62" s="34" t="n">
        <x:f>'表单2_清洗'!AD64</x:f>
        <x:v>0</x:v>
      </x:c>
      <x:c r="O62" s="34" t="n">
        <x:f>'表单2_清洗'!AE64</x:f>
        <x:v>0.549618320610687</x:v>
      </x:c>
      <x:c r="P62" s="34" t="n">
        <x:f>'表单2_清洗'!AF64</x:f>
        <x:v>13.903307888040711</x:v>
      </x:c>
      <x:c r="Q62" s="34" t="n">
        <x:f>'表单2_清洗'!AG64</x:f>
        <x:v>9.150127226463106</x:v>
      </x:c>
      <x:c r="R62" s="34" t="n">
        <x:f>'表单2_清洗'!AH64</x:f>
        <x:v>0</x:v>
      </x:c>
      <x:c r="S62" s="34" t="n">
        <x:f>'表单2_清洗'!AI64</x:f>
        <x:v>0.2748091603053435</x:v>
      </x:c>
      <x:c r="T62" s="34" t="n">
        <x:f>'表单2_清洗'!AJ64</x:f>
        <x:v>0</x:v>
      </x:c>
      <x:c r="U62" s="34" t="n">
        <x:f>'表单2_清洗'!AK64</x:f>
        <x:v>0</x:v>
      </x:c>
      <x:c r="V62" s="34" t="n">
        <x:f>'表单2_清洗'!AL64</x:f>
        <x:v>99.99999999999999</x:v>
      </x:c>
    </x:row>
    <x:row r="63">
      <x:c r="A63" s="32" t="str">
        <x:v>54</x:v>
      </x:c>
      <x:c r="B63" s="32" t="str">
        <x:v>54</x:v>
      </x:c>
      <x:c r="C63" s="26" t="str">
        <x:f>'表单2_清洗'!Q65</x:f>
        <x:v>普通采样点</x:v>
      </x:c>
      <x:c r="D63" s="26" t="str">
        <x:f>'表单2_清洗'!R65</x:f>
        <x:v>铅钡</x:v>
      </x:c>
      <x:c r="E63" s="26" t="str">
        <x:f>'表单2_清洗'!T65</x:f>
        <x:v>风化</x:v>
      </x:c>
      <x:c r="F63" s="33" t="n">
        <x:f>'表单2_清洗'!U65</x:f>
        <x:v>99.67</x:v>
      </x:c>
      <x:c r="G63" s="39" t="n">
        <x:f>'表单2_清洗'!W65</x:f>
        <x:v>4</x:v>
      </x:c>
      <x:c r="H63" s="34" t="n">
        <x:f>'表单2_清洗'!X65</x:f>
        <x:v>22.35376743252734</x:v>
      </x:c>
      <x:c r="I63" s="34" t="n">
        <x:f>'表单2_清洗'!Y65</x:f>
        <x:v>0</x:v>
      </x:c>
      <x:c r="J63" s="34" t="n">
        <x:f>'表单2_清洗'!Z65</x:f>
        <x:v>0.32105949633791514</x:v>
      </x:c>
      <x:c r="K63" s="34" t="n">
        <x:f>'表单2_清洗'!AA65</x:f>
        <x:v>3.2005618541185914</x:v>
      </x:c>
      <x:c r="L63" s="34" t="n">
        <x:f>'表单2_清洗'!AB65</x:f>
        <x:v>1.2842379853516606</x:v>
      </x:c>
      <x:c r="M63" s="34" t="n">
        <x:f>'表单2_清洗'!AC65</x:f>
        <x:v>4.1637403431323365</x:v>
      </x:c>
      <x:c r="N63" s="34" t="n">
        <x:f>'表单2_清洗'!AD65</x:f>
        <x:v>0</x:v>
      </x:c>
      <x:c r="O63" s="34" t="n">
        <x:f>'表单2_清洗'!AE65</x:f>
        <x:v>0.8327480686264673</x:v>
      </x:c>
      <x:c r="P63" s="34" t="n">
        <x:f>'表单2_清洗'!AF65</x:f>
        <x:v>55.64362395906491</x:v>
      </x:c>
      <x:c r="Q63" s="34" t="n">
        <x:f>'表单2_清洗'!AG65</x:f>
        <x:v>7.063308919434133</x:v>
      </x:c>
      <x:c r="R63" s="34" t="n">
        <x:f>'表单2_清洗'!AH65</x:f>
        <x:v>4.254038326477375</x:v>
      </x:c>
      <x:c r="S63" s="34" t="n">
        <x:f>'表单2_清洗'!AI65</x:f>
        <x:v>0.8829136149292667</x:v>
      </x:c>
      <x:c r="T63" s="34" t="n">
        <x:f>'表单2_清洗'!AJ65</x:f>
        <x:v>0</x:v>
      </x:c>
      <x:c r="U63" s="34" t="n">
        <x:f>'表单2_清洗'!AK65</x:f>
        <x:v>0</x:v>
      </x:c>
      <x:c r="V63" s="34" t="n">
        <x:f>'表单2_清洗'!AL65</x:f>
        <x:v>99.99999999999999</x:v>
      </x:c>
    </x:row>
    <x:row r="64">
      <x:c r="A64" s="32" t="str">
        <x:v>54严重风化点</x:v>
      </x:c>
      <x:c r="B64" s="32" t="str">
        <x:v>54</x:v>
      </x:c>
      <x:c r="C64" s="26" t="str">
        <x:f>'表单2_清洗'!Q66</x:f>
        <x:v>严重风化点</x:v>
      </x:c>
      <x:c r="D64" s="26" t="str">
        <x:f>'表单2_清洗'!R66</x:f>
        <x:v>铅钡</x:v>
      </x:c>
      <x:c r="E64" s="26" t="str">
        <x:f>'表单2_清洗'!T66</x:f>
        <x:v>风化</x:v>
      </x:c>
      <x:c r="F64" s="33" t="n">
        <x:f>'表单2_清洗'!U66</x:f>
        <x:v>96.92</x:v>
      </x:c>
      <x:c r="G64" s="39" t="n">
        <x:f>'表单2_清洗'!W66</x:f>
        <x:v>7</x:v>
      </x:c>
      <x:c r="H64" s="34" t="n">
        <x:f>'表单2_清洗'!X66</x:f>
        <x:v>17.653735039207593</x:v>
      </x:c>
      <x:c r="I64" s="34" t="n">
        <x:f>'表单2_清洗'!Y66</x:f>
        <x:v>0</x:v>
      </x:c>
      <x:c r="J64" s="34" t="n">
        <x:f>'表单2_清洗'!Z66</x:f>
        <x:v>0</x:v>
      </x:c>
      <x:c r="K64" s="34" t="n">
        <x:f>'表单2_清洗'!AA66</x:f>
        <x:v>0</x:v>
      </x:c>
      <x:c r="L64" s="34" t="n">
        <x:f>'表单2_清洗'!AB66</x:f>
        <x:v>1.1452744531572432</x:v>
      </x:c>
      <x:c r="M64" s="34" t="n">
        <x:f>'表单2_清洗'!AC66</x:f>
        <x:v>3.765992571192736</x:v>
      </x:c>
      <x:c r="N64" s="34" t="n">
        <x:f>'表单2_清洗'!AD66</x:f>
        <x:v>0</x:v>
      </x:c>
      <x:c r="O64" s="34" t="n">
        <x:f>'表单2_清洗'!AE66</x:f>
        <x:v>1.382583574081717</x:v>
      </x:c>
      <x:c r="P64" s="34" t="n">
        <x:f>'表单2_清洗'!AF66</x:f>
        <x:v>60.31778786628147</x:v>
      </x:c>
      <x:c r="Q64" s="34" t="n">
        <x:f>'表单2_清洗'!AG66</x:f>
        <x:v>0</x:v>
      </x:c>
      <x:c r="R64" s="34" t="n">
        <x:f>'表单2_清洗'!AH66</x:f>
        <x:v>14.579034255055717</x:v>
      </x:c>
      <x:c r="S64" s="34" t="n">
        <x:f>'表单2_清洗'!AI66</x:f>
        <x:v>1.1555922410235246</x:v>
      </x:c>
      <x:c r="T64" s="34" t="n">
        <x:f>'表单2_清洗'!AJ66</x:f>
        <x:v>0</x:v>
      </x:c>
      <x:c r="U64" s="34" t="n">
        <x:f>'表单2_清洗'!AK66</x:f>
        <x:v>0</x:v>
      </x:c>
      <x:c r="V64" s="34" t="n">
        <x:f>'表单2_清洗'!AL66</x:f>
        <x:v>100</x:v>
      </x:c>
    </x:row>
    <x:row r="65">
      <x:c r="A65" s="32" t="str">
        <x:v>55</x:v>
      </x:c>
      <x:c r="B65" s="32" t="str">
        <x:v>55</x:v>
      </x:c>
      <x:c r="C65" s="26" t="str">
        <x:f>'表单2_清洗'!Q67</x:f>
        <x:v>普通采样点</x:v>
      </x:c>
      <x:c r="D65" s="26" t="str">
        <x:f>'表单2_清洗'!R67</x:f>
        <x:v>铅钡</x:v>
      </x:c>
      <x:c r="E65" s="26" t="str">
        <x:f>'表单2_清洗'!T67</x:f>
        <x:v>无风化</x:v>
      </x:c>
      <x:c r="F65" s="33" t="n">
        <x:f>'表单2_清洗'!U67</x:f>
        <x:v>96.38000000000001</x:v>
      </x:c>
      <x:c r="G65" s="39" t="n">
        <x:f>'表单2_清洗'!W67</x:f>
        <x:v>6</x:v>
      </x:c>
      <x:c r="H65" s="34" t="n">
        <x:f>'表单2_清洗'!X67</x:f>
        <x:v>50.85079892093795</x:v>
      </x:c>
      <x:c r="I65" s="34" t="n">
        <x:f>'表单2_清洗'!Y67</x:f>
        <x:v>2.8117866777339695</x:v>
      </x:c>
      <x:c r="J65" s="34" t="n">
        <x:f>'表单2_清洗'!Z67</x:f>
        <x:v>0</x:v>
      </x:c>
      <x:c r="K65" s="34" t="n">
        <x:f>'表单2_清洗'!AA67</x:f>
        <x:v>1.1724424154388875</x:v>
      </x:c>
      <x:c r="L65" s="34" t="n">
        <x:f>'表单2_清洗'!AB67</x:f>
        <x:v>0</x:v>
      </x:c>
      <x:c r="M65" s="34" t="n">
        <x:f>'表单2_清洗'!AC67</x:f>
        <x:v>1.5044615065366256</x:v>
      </x:c>
      <x:c r="N65" s="34" t="n">
        <x:f>'表单2_清洗'!AD67</x:f>
        <x:v>0</x:v>
      </x:c>
      <x:c r="O65" s="34" t="n">
        <x:f>'表单2_清洗'!AE67</x:f>
        <x:v>0.8923013073251711</x:v>
      </x:c>
      <x:c r="P65" s="34" t="n">
        <x:f>'表单2_清洗'!AF67</x:f>
        <x:v>34.15646399667981</x:v>
      </x:c>
      <x:c r="Q65" s="34" t="n">
        <x:f>'表单2_清洗'!AG67</x:f>
        <x:v>8.248599294459432</x:v>
      </x:c>
      <x:c r="R65" s="34" t="n">
        <x:f>'表单2_清洗'!AH67</x:f>
        <x:v>0.36314588088815103</x:v>
      </x:c>
      <x:c r="S65" s="34" t="n">
        <x:f>'表单2_清洗'!AI67</x:f>
        <x:v>0</x:v>
      </x:c>
      <x:c r="T65" s="34" t="n">
        <x:f>'表单2_清洗'!AJ67</x:f>
        <x:v>0</x:v>
      </x:c>
      <x:c r="U65" s="34" t="n">
        <x:f>'表单2_清洗'!AK67</x:f>
        <x:v>0</x:v>
      </x:c>
      <x:c r="V65" s="34" t="n">
        <x:f>'表单2_清洗'!AL67</x:f>
        <x:v>100.00000000000001</x:v>
      </x:c>
    </x:row>
    <x:row r="66">
      <x:c r="A66" s="32" t="str">
        <x:v>56</x:v>
      </x:c>
      <x:c r="B66" s="32" t="str">
        <x:v>56</x:v>
      </x:c>
      <x:c r="C66" s="26" t="str">
        <x:f>'表单2_清洗'!Q68</x:f>
        <x:v>普通采样点</x:v>
      </x:c>
      <x:c r="D66" s="26" t="str">
        <x:f>'表单2_清洗'!R68</x:f>
        <x:v>铅钡</x:v>
      </x:c>
      <x:c r="E66" s="26" t="str">
        <x:f>'表单2_清洗'!T68</x:f>
        <x:v>风化</x:v>
      </x:c>
      <x:c r="F66" s="33" t="n">
        <x:f>'表单2_清洗'!U68</x:f>
        <x:v>92.24000000000001</x:v>
      </x:c>
      <x:c r="G66" s="39" t="n">
        <x:f>'表单2_清洗'!W68</x:f>
        <x:v>7</x:v>
      </x:c>
      <x:c r="H66" s="34" t="n">
        <x:f>'表单2_清洗'!X68</x:f>
        <x:v>31.602341717259318</x:v>
      </x:c>
      <x:c r="I66" s="34" t="n">
        <x:f>'表单2_清洗'!Y68</x:f>
        <x:v>0</x:v>
      </x:c>
      <x:c r="J66" s="34" t="n">
        <x:f>'表单2_清洗'!Z68</x:f>
        <x:v>0</x:v>
      </x:c>
      <x:c r="K66" s="34" t="n">
        <x:f>'表单2_清洗'!AA68</x:f>
        <x:v>1.3117953165654812</x:v>
      </x:c>
      <x:c r="L66" s="34" t="n">
        <x:f>'表单2_清洗'!AB68</x:f>
        <x:v>0</x:v>
      </x:c>
      <x:c r="M66" s="34" t="n">
        <x:f>'表单2_清洗'!AC68</x:f>
        <x:v>2.005637467476149</x:v>
      </x:c>
      <x:c r="N66" s="34" t="n">
        <x:f>'表单2_清洗'!AD68</x:f>
        <x:v>0</x:v>
      </x:c>
      <x:c r="O66" s="34" t="n">
        <x:f>'表单2_清洗'!AE68</x:f>
        <x:v>0.8564614050303555</x:v>
      </x:c>
      <x:c r="P66" s="34" t="n">
        <x:f>'表单2_清洗'!AF68</x:f>
        <x:v>44.72029488291413</x:v>
      </x:c>
      <x:c r="Q66" s="34" t="n">
        <x:f>'表单2_清洗'!AG68</x:f>
        <x:v>16.74978317432784</x:v>
      </x:c>
      <x:c r="R66" s="34" t="n">
        <x:f>'表单2_清洗'!AH68</x:f>
        <x:v>2.753686036426713</x:v>
      </x:c>
      <x:c r="S66" s="34" t="n">
        <x:f>'表单2_清洗'!AI68</x:f>
        <x:v>0</x:v>
      </x:c>
      <x:c r="T66" s="34" t="n">
        <x:f>'表单2_清洗'!AJ68</x:f>
        <x:v>0</x:v>
      </x:c>
      <x:c r="U66" s="34" t="n">
        <x:f>'表单2_清洗'!AK68</x:f>
        <x:v>0</x:v>
      </x:c>
      <x:c r="V66" s="34" t="n">
        <x:f>'表单2_清洗'!AL68</x:f>
        <x:v>99.99999999999999</x:v>
      </x:c>
    </x:row>
    <x:row r="67">
      <x:c r="A67" s="32" t="str">
        <x:v>57</x:v>
      </x:c>
      <x:c r="B67" s="32" t="str">
        <x:v>57</x:v>
      </x:c>
      <x:c r="C67" s="26" t="str">
        <x:f>'表单2_清洗'!Q69</x:f>
        <x:v>普通采样点</x:v>
      </x:c>
      <x:c r="D67" s="26" t="str">
        <x:f>'表单2_清洗'!R69</x:f>
        <x:v>铅钡</x:v>
      </x:c>
      <x:c r="E67" s="26" t="str">
        <x:f>'表单2_清洗'!T69</x:f>
        <x:v>风化</x:v>
      </x:c>
      <x:c r="F67" s="33" t="n">
        <x:f>'表单2_清洗'!U69</x:f>
        <x:v>92.47</x:v>
      </x:c>
      <x:c r="G67" s="39" t="n">
        <x:f>'表单2_清洗'!W69</x:f>
        <x:v>8</x:v>
      </x:c>
      <x:c r="H67" s="34" t="n">
        <x:f>'表单2_清洗'!X69</x:f>
        <x:v>27.489996755704553</x:v>
      </x:c>
      <x:c r="I67" s="34" t="n">
        <x:f>'表单2_清洗'!Y69</x:f>
        <x:v>0</x:v>
      </x:c>
      <x:c r="J67" s="34" t="n">
        <x:f>'表单2_清洗'!Z69</x:f>
        <x:v>0</x:v>
      </x:c>
      <x:c r="K67" s="34" t="n">
        <x:f>'表单2_清洗'!AA69</x:f>
        <x:v>1.4166756785984644</x:v>
      </x:c>
      <x:c r="L67" s="34" t="n">
        <x:f>'表单2_清洗'!AB69</x:f>
        <x:v>0</x:v>
      </x:c>
      <x:c r="M67" s="34" t="n">
        <x:f>'表单2_清洗'!AC69</x:f>
        <x:v>2.3575213582783605</x:v>
      </x:c>
      <x:c r="N67" s="34" t="n">
        <x:f>'表单2_清洗'!AD69</x:f>
        <x:v>0</x:v>
      </x:c>
      <x:c r="O67" s="34" t="n">
        <x:f>'表单2_清洗'!AE69</x:f>
        <x:v>1.2544609062398615</x:v>
      </x:c>
      <x:c r="P67" s="34" t="n">
        <x:f>'表单2_清洗'!AF69</x:f>
        <x:v>48.77257488915324</x:v>
      </x:c>
      <x:c r="Q67" s="34" t="n">
        <x:f>'表单2_清洗'!AG69</x:f>
        <x:v>18.708770412025522</x:v>
      </x:c>
      <x:c r="R67" s="34" t="n">
        <x:f>'表单2_清洗'!AH69</x:f>
        <x:v>0</x:v>
      </x:c>
      <x:c r="S67" s="34" t="n">
        <x:f>'表单2_清洗'!AI69</x:f>
        <x:v>0</x:v>
      </x:c>
      <x:c r="T67" s="34" t="n">
        <x:f>'表单2_清洗'!AJ69</x:f>
        <x:v>0</x:v>
      </x:c>
      <x:c r="U67" s="34" t="n">
        <x:f>'表单2_清洗'!AK69</x:f>
        <x:v>0</x:v>
      </x:c>
      <x:c r="V67" s="34" t="n">
        <x:f>'表单2_清洗'!AL69</x:f>
        <x:v>100</x:v>
      </x:c>
    </x:row>
    <x:row r="68">
      <x:c r="A68" s="32" t="str">
        <x:v>58</x:v>
      </x:c>
      <x:c r="B68" s="32" t="str">
        <x:v>58</x:v>
      </x:c>
      <x:c r="C68" s="26" t="str">
        <x:f>'表单2_清洗'!Q70</x:f>
        <x:v>普通采样点</x:v>
      </x:c>
      <x:c r="D68" s="26" t="str">
        <x:f>'表单2_清洗'!R70</x:f>
        <x:v>铅钡</x:v>
      </x:c>
      <x:c r="E68" s="26" t="str">
        <x:f>'表单2_清洗'!T70</x:f>
        <x:v>风化</x:v>
      </x:c>
      <x:c r="F68" s="33" t="n">
        <x:f>'表单2_清洗'!U70</x:f>
        <x:v>98.75999999999999</x:v>
      </x:c>
      <x:c r="G68" s="39" t="n">
        <x:f>'表单2_清洗'!W70</x:f>
        <x:v>3</x:v>
      </x:c>
      <x:c r="H68" s="34" t="n">
        <x:f>'表单2_清洗'!X70</x:f>
        <x:v>30.771567436208997</x:v>
      </x:c>
      <x:c r="I68" s="34" t="n">
        <x:f>'表单2_清洗'!Y70</x:f>
        <x:v>0</x:v>
      </x:c>
      <x:c r="J68" s="34" t="n">
        <x:f>'表单2_清洗'!Z70</x:f>
        <x:v>0.34426893479141357</x:v>
      </x:c>
      <x:c r="K68" s="34" t="n">
        <x:f>'表单2_清洗'!AA70</x:f>
        <x:v>3.533819360064804</x:v>
      </x:c>
      <x:c r="L68" s="34" t="n">
        <x:f>'表单2_清洗'!AB70</x:f>
        <x:v>0.7999189955447551</x:v>
      </x:c>
      <x:c r="M68" s="34" t="n">
        <x:f>'表单2_清洗'!AC70</x:f>
        <x:v>3.564196030781693</x:v>
      </x:c>
      <x:c r="N68" s="34" t="n">
        <x:f>'表单2_清洗'!AD70</x:f>
        <x:v>0.8707978938841636</x:v>
      </x:c>
      <x:c r="O68" s="34" t="n">
        <x:f>'表单2_清洗'!AE70</x:f>
        <x:v>3.169299311462131</x:v>
      </x:c>
      <x:c r="P68" s="34" t="n">
        <x:f>'表单2_清洗'!AF70</x:f>
        <x:v>39.84406642365331</x:v>
      </x:c>
      <x:c r="Q68" s="34" t="n">
        <x:f>'表单2_清洗'!AG70</x:f>
        <x:v>7.756176589712435</x:v>
      </x:c>
      <x:c r="R68" s="34" t="n">
        <x:f>'表单2_清洗'!AH70</x:f>
        <x:v>9.1028756581612</x:v>
      </x:c>
      <x:c r="S68" s="34" t="n">
        <x:f>'表单2_清洗'!AI70</x:f>
        <x:v>0.24301336573511545</x:v>
      </x:c>
      <x:c r="T68" s="34" t="n">
        <x:f>'表单2_清洗'!AJ70</x:f>
        <x:v>0</x:v>
      </x:c>
      <x:c r="U68" s="34" t="n">
        <x:f>'表单2_清洗'!AK70</x:f>
        <x:v>0</x:v>
      </x:c>
      <x:c r="V68" s="34" t="n">
        <x:f>'表单2_清洗'!AL70</x:f>
        <x:v>100.00000000000001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3ec5f8df6f2b45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18" hidden="0" customWidth="1"/>
    <x:col min="4" max="4" width="38" hidden="0" customWidth="1"/>
  </x:cols>
  <x:sheetData>
    <x:row r="1" ht="34" customHeight="1">
      <x:c r="A1" s="42" t="str">
        <x:v>2022C 数据清洗质量检查</x:v>
      </x:c>
      <x:c r="B1" s="42"/>
      <x:c r="C1" s="42"/>
      <x:c r="D1" s="42"/>
    </x:row>
    <x:row r="3">
      <x:c r="A3" s="46" t="str">
        <x:v>检查项</x:v>
      </x:c>
      <x:c r="B3" s="46" t="str">
        <x:v>实际值</x:v>
      </x:c>
      <x:c r="C3" s="46" t="str">
        <x:v>预期值</x:v>
      </x:c>
      <x:c r="D3" s="46" t="str">
        <x:v>结果</x:v>
      </x:c>
    </x:row>
    <x:row r="4">
      <x:c r="A4" s="47" t="str">
        <x:v>表单1文物数</x:v>
      </x:c>
      <x:c r="B4" s="48" t="n">
        <x:f>COUNTA('表单1_清洗'!$A$2:$A$59)</x:f>
        <x:v>58</x:v>
      </x:c>
      <x:c r="C4" s="48" t="n">
        <x:v>58</x:v>
      </x:c>
      <x:c r="D4" s="49" t="str">
        <x:f>IF(B4=C4,"通过","检查")</x:f>
        <x:v>通过</x:v>
      </x:c>
    </x:row>
    <x:row r="5">
      <x:c r="A5" s="50" t="str">
        <x:v>高钾文物数</x:v>
      </x:c>
      <x:c r="B5" s="51" t="n">
        <x:f>COUNTIF('表单1_清洗'!$C$2:$C$59,"高钾")</x:f>
        <x:v>18</x:v>
      </x:c>
      <x:c r="C5" s="51" t="n">
        <x:v>18</x:v>
      </x:c>
      <x:c r="D5" s="52" t="str">
        <x:f>IF(B5=C5,"通过","检查")</x:f>
        <x:v>通过</x:v>
      </x:c>
    </x:row>
    <x:row r="6">
      <x:c r="A6" s="50" t="str">
        <x:v>铅钡文物数</x:v>
      </x:c>
      <x:c r="B6" s="51" t="n">
        <x:f>COUNTIF('表单1_清洗'!$C$2:$C$59,"铅钡")</x:f>
        <x:v>40</x:v>
      </x:c>
      <x:c r="C6" s="51" t="n">
        <x:v>40</x:v>
      </x:c>
      <x:c r="D6" s="52" t="str">
        <x:f>IF(B6=C6,"通过","检查")</x:f>
        <x:v>通过</x:v>
      </x:c>
    </x:row>
    <x:row r="7">
      <x:c r="A7" s="50" t="str">
        <x:v>风化文物数</x:v>
      </x:c>
      <x:c r="B7" s="51" t="n">
        <x:f>COUNTIF('表单1_清洗'!$E$2:$E$59,"风化")</x:f>
        <x:v>34</x:v>
      </x:c>
      <x:c r="C7" s="51" t="n">
        <x:v>34</x:v>
      </x:c>
      <x:c r="D7" s="52" t="str">
        <x:f>IF(B7=C7,"通过","检查")</x:f>
        <x:v>通过</x:v>
      </x:c>
    </x:row>
    <x:row r="8">
      <x:c r="A8" s="50" t="str">
        <x:v>无风化文物数</x:v>
      </x:c>
      <x:c r="B8" s="51" t="n">
        <x:f>COUNTIF('表单1_清洗'!$E$2:$E$59,"无风化")</x:f>
        <x:v>24</x:v>
      </x:c>
      <x:c r="C8" s="51" t="n">
        <x:v>24</x:v>
      </x:c>
      <x:c r="D8" s="52" t="str">
        <x:f>IF(B8=C8,"通过","检查")</x:f>
        <x:v>通过</x:v>
      </x:c>
    </x:row>
    <x:row r="9">
      <x:c r="A9" s="50" t="str">
        <x:v>颜色缺失数</x:v>
      </x:c>
      <x:c r="B9" s="51" t="n">
        <x:f>SUM('表单1_清洗'!$H$2:$H$59)</x:f>
        <x:v>4</x:v>
      </x:c>
      <x:c r="C9" s="51" t="n">
        <x:v>4</x:v>
      </x:c>
      <x:c r="D9" s="52" t="str">
        <x:f>IF(B9=C9,"通过","检查")</x:f>
        <x:v>通过</x:v>
      </x:c>
    </x:row>
    <x:row r="10">
      <x:c r="A10" s="50" t="str">
        <x:v>表单1异常行数</x:v>
      </x:c>
      <x:c r="B10" s="51" t="n">
        <x:f>COUNTIF('表单1_清洗'!$I$2:$I$59,"检查")</x:f>
        <x:v>0</x:v>
      </x:c>
      <x:c r="C10" s="51" t="n">
        <x:v>0</x:v>
      </x:c>
      <x:c r="D10" s="52" t="str">
        <x:f>IF(B10=C10,"通过","检查")</x:f>
        <x:v>通过</x:v>
      </x:c>
    </x:row>
    <x:row r="11">
      <x:c r="A11" s="50" t="str">
        <x:v>表单2采样点数</x:v>
      </x:c>
      <x:c r="B11" s="51" t="n">
        <x:f>COUNTA('表单2_清洗'!$A$2:$A$70)</x:f>
        <x:v>69</x:v>
      </x:c>
      <x:c r="C11" s="51" t="n">
        <x:v>69</x:v>
      </x:c>
      <x:c r="D11" s="52" t="str">
        <x:f>IF(B11=C11,"通过","检查")</x:f>
        <x:v>通过</x:v>
      </x:c>
    </x:row>
    <x:row r="12">
      <x:c r="A12" s="50" t="str">
        <x:v>有效采样点数</x:v>
      </x:c>
      <x:c r="B12" s="51" t="n">
        <x:f>COUNTIF('表单2_清洗'!$V$2:$V$70,"有效")</x:f>
        <x:v>67</x:v>
      </x:c>
      <x:c r="C12" s="51" t="n">
        <x:v>67</x:v>
      </x:c>
      <x:c r="D12" s="52" t="str">
        <x:f>IF(B12=C12,"通过","检查")</x:f>
        <x:v>通过</x:v>
      </x:c>
    </x:row>
    <x:row r="13">
      <x:c r="A13" s="50" t="str">
        <x:v>无效采样点数</x:v>
      </x:c>
      <x:c r="B13" s="51" t="n">
        <x:f>COUNTIF('表单2_清洗'!$V$2:$V$70,"无效")</x:f>
        <x:v>2</x:v>
      </x:c>
      <x:c r="C13" s="51" t="n">
        <x:v>2</x:v>
      </x:c>
      <x:c r="D13" s="52" t="str">
        <x:f>IF(B13=C13,"通过","检查")</x:f>
        <x:v>通过</x:v>
      </x:c>
    </x:row>
    <x:row r="14">
      <x:c r="A14" s="50" t="str">
        <x:v>模型数据行数</x:v>
      </x:c>
      <x:c r="B14" s="51" t="n">
        <x:f>COUNTA('模型数据'!$A$2:$A$68)</x:f>
        <x:v>67</x:v>
      </x:c>
      <x:c r="C14" s="51" t="n">
        <x:v>67</x:v>
      </x:c>
      <x:c r="D14" s="52" t="str">
        <x:f>IF(B14=C14,"通过","检查")</x:f>
        <x:v>通过</x:v>
      </x:c>
    </x:row>
    <x:row r="15">
      <x:c r="A15" s="50" t="str">
        <x:v>高钾-无风化</x:v>
      </x:c>
      <x:c r="B15" s="51" t="n">
        <x:f>COUNTIFS('模型数据'!$D$2:$D$68,"高钾",'模型数据'!$E$2:$E$68,"无风化")</x:f>
        <x:v>12</x:v>
      </x:c>
      <x:c r="C15" s="51" t="n">
        <x:v>12</x:v>
      </x:c>
      <x:c r="D15" s="52" t="str">
        <x:f>IF(B15=C15,"通过","检查")</x:f>
        <x:v>通过</x:v>
      </x:c>
    </x:row>
    <x:row r="16">
      <x:c r="A16" s="50" t="str">
        <x:v>高钾-风化</x:v>
      </x:c>
      <x:c r="B16" s="51" t="n">
        <x:f>COUNTIFS('模型数据'!$D$2:$D$68,"高钾",'模型数据'!$E$2:$E$68,"风化")</x:f>
        <x:v>6</x:v>
      </x:c>
      <x:c r="C16" s="51" t="n">
        <x:v>6</x:v>
      </x:c>
      <x:c r="D16" s="52" t="str">
        <x:f>IF(B16=C16,"通过","检查")</x:f>
        <x:v>通过</x:v>
      </x:c>
    </x:row>
    <x:row r="17">
      <x:c r="A17" s="50" t="str">
        <x:v>铅钡-无风化</x:v>
      </x:c>
      <x:c r="B17" s="51" t="n">
        <x:f>COUNTIFS('模型数据'!$D$2:$D$68,"铅钡",'模型数据'!$E$2:$E$68,"无风化")</x:f>
        <x:v>23</x:v>
      </x:c>
      <x:c r="C17" s="51" t="n">
        <x:v>23</x:v>
      </x:c>
      <x:c r="D17" s="52" t="str">
        <x:f>IF(B17=C17,"通过","检查")</x:f>
        <x:v>通过</x:v>
      </x:c>
    </x:row>
    <x:row r="18">
      <x:c r="A18" s="50" t="str">
        <x:v>铅钡-风化</x:v>
      </x:c>
      <x:c r="B18" s="51" t="n">
        <x:f>COUNTIFS('模型数据'!$D$2:$D$68,"铅钡",'模型数据'!$E$2:$E$68,"风化")</x:f>
        <x:v>26</x:v>
      </x:c>
      <x:c r="C18" s="51" t="n">
        <x:v>26</x:v>
      </x:c>
      <x:c r="D18" s="52" t="str">
        <x:f>IF(B18=C18,"通过","检查")</x:f>
        <x:v>通过</x:v>
      </x:c>
    </x:row>
    <x:row r="19">
      <x:c r="A19" s="53" t="str">
        <x:v>归一化合计异常数</x:v>
      </x:c>
      <x:c r="B19" s="54" t="n">
        <x:f>COUNTIF('模型数据'!$V$2:$V$68,"&lt;99.999")+COUNTIF('模型数据'!$V$2:$V$68,"&gt;100.001")</x:f>
        <x:v>0</x:v>
      </x:c>
      <x:c r="C19" s="54" t="n">
        <x:v>0</x:v>
      </x:c>
      <x:c r="D19" s="55" t="str">
        <x:f>IF(B19=C19,"通过","检查")</x:f>
        <x:v>通过</x:v>
      </x:c>
    </x:row>
    <x:row r="22" ht="34" customHeight="1">
      <x:c r="A22" s="43" t="str">
        <x:v>无效样本</x:v>
      </x:c>
      <x:c r="B22" s="43" t="str">
        <x:v>15（合计79.47%）；17（合计71.89%）</x:v>
      </x:c>
      <x:c r="C22" s="43" t="str">
        <x:v>处理方式</x:v>
      </x:c>
      <x:c r="D22" s="43" t="str">
        <x:v>完整清洗表保留，模型数据排除</x:v>
      </x:c>
    </x:row>
    <x:row r="24" ht="52" customHeight="1">
      <x:c r="A24" s="45" t="str">
        <x:v>清洗规则：原始表不改动；颜色空白记为“未知”并增加缺失标记；化学成分空白表示未检出，求和与归一化时按0处理；原始合计在85%-105%之间为有效；有效成分按行归一化到100%。</x:v>
      </x:c>
      <x:c r="B24" s="45"/>
      <x:c r="C24" s="45"/>
      <x:c r="D24" s="45"/>
    </x:row>
  </x:sheetData>
  <x:mergeCells>
    <x:mergeCell ref="A1:D1"/>
    <x:mergeCell ref="A24:D24"/>
  </x:mergeCells>
  <x:conditionalFormatting sqref="D4:D19">
    <x:cfRule type="containsText" dxfId="2" priority="1" operator="containsText" text="检查"/>
    <x:cfRule type="containsText" dxfId="3" priority="2" operator="containsText" text="通过"/>
  </x:conditionalFormatting>
  <x:pageMargins left="0.7" right="0.7" top="0.75" bottom="0.75" header="0.3" footer="0.3"/>
</x:worksheet>
</file>